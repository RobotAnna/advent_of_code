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advent_of_code\2024\"/>
    </mc:Choice>
  </mc:AlternateContent>
  <xr:revisionPtr revIDLastSave="0" documentId="13_ncr:1_{9B21F3E0-9356-42B5-92E6-EFAC20DCF4AE}" xr6:coauthVersionLast="47" xr6:coauthVersionMax="47" xr10:uidLastSave="{00000000-0000-0000-0000-000000000000}"/>
  <bookViews>
    <workbookView xWindow="-108" yWindow="-108" windowWidth="23256" windowHeight="12456" xr2:uid="{387E7291-D15C-498B-8242-DD67CBECE823}"/>
  </bookViews>
  <sheets>
    <sheet name="day 3" sheetId="2" r:id="rId1"/>
  </sheets>
  <definedNames>
    <definedName name="_xlnm._FilterDatabase" localSheetId="0" hidden="1">'day 3'!$D$3:$O$789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C4" i="2"/>
  <c r="E4" i="2" s="1"/>
  <c r="F4" i="2" s="1"/>
  <c r="Q4" i="2"/>
  <c r="R4" i="2" a="1"/>
  <c r="R4" i="2" s="1"/>
  <c r="S4" i="2" a="1"/>
  <c r="S4" i="2" s="1"/>
  <c r="T4" i="2" a="1"/>
  <c r="T4" i="2" s="1"/>
  <c r="U4" i="2" a="1"/>
  <c r="U4" i="2" s="1"/>
  <c r="V4" i="2" a="1"/>
  <c r="V4" i="2" s="1"/>
  <c r="W4" i="2" a="1"/>
  <c r="W4" i="2" s="1"/>
  <c r="W1" i="2" s="1"/>
  <c r="Y4" i="2"/>
  <c r="Z4" i="2" a="1"/>
  <c r="Z4" i="2"/>
  <c r="AG4" i="2" a="1"/>
  <c r="AG4" i="2"/>
  <c r="AH4" i="2" a="1"/>
  <c r="AH4" i="2"/>
  <c r="AI4" i="2" a="1"/>
  <c r="AI4" i="2"/>
  <c r="AJ4" i="2" a="1"/>
  <c r="AJ4" i="2"/>
  <c r="AK4" i="2" a="1"/>
  <c r="AK4" i="2" s="1"/>
  <c r="AL4" i="2" a="1"/>
  <c r="AL4" i="2"/>
  <c r="AM4" i="2" a="1"/>
  <c r="AM4" i="2" s="1"/>
  <c r="AM1" i="2" s="1"/>
  <c r="B5" i="2"/>
  <c r="E5" i="2"/>
  <c r="B6" i="2"/>
  <c r="B7" i="2"/>
  <c r="B10" i="2" s="1"/>
  <c r="B8" i="2"/>
  <c r="B9" i="2"/>
  <c r="K272" i="2"/>
  <c r="L272" i="2"/>
  <c r="M272" i="2"/>
  <c r="N272" i="2"/>
  <c r="O272" i="2"/>
  <c r="K500" i="2"/>
  <c r="L500" i="2"/>
  <c r="M500" i="2"/>
  <c r="N500" i="2"/>
  <c r="O500" i="2"/>
  <c r="K582" i="2"/>
  <c r="L582" i="2"/>
  <c r="M582" i="2"/>
  <c r="N582" i="2"/>
  <c r="O582" i="2"/>
  <c r="E6" i="2" l="1"/>
  <c r="F5" i="2"/>
  <c r="G4" i="2"/>
  <c r="J4" i="2" s="1"/>
  <c r="H4" i="2"/>
  <c r="I4" i="2"/>
  <c r="H5" i="2" l="1"/>
  <c r="I5" i="2"/>
  <c r="G5" i="2"/>
  <c r="J5" i="2" s="1"/>
  <c r="M4" i="2"/>
  <c r="N4" i="2"/>
  <c r="K4" i="2"/>
  <c r="L4" i="2" s="1"/>
  <c r="O4" i="2"/>
  <c r="E7" i="2"/>
  <c r="F6" i="2"/>
  <c r="I6" i="2" l="1"/>
  <c r="G6" i="2"/>
  <c r="H6" i="2"/>
  <c r="F7" i="2"/>
  <c r="E8" i="2"/>
  <c r="K5" i="2"/>
  <c r="L5" i="2"/>
  <c r="M5" i="2"/>
  <c r="N5" i="2"/>
  <c r="O5" i="2"/>
  <c r="F8" i="2" l="1"/>
  <c r="E9" i="2"/>
  <c r="G7" i="2"/>
  <c r="H7" i="2"/>
  <c r="I7" i="2"/>
  <c r="J6" i="2"/>
  <c r="K6" i="2" l="1"/>
  <c r="O6" i="2" s="1"/>
  <c r="L6" i="2"/>
  <c r="M6" i="2"/>
  <c r="N6" i="2" s="1"/>
  <c r="J7" i="2"/>
  <c r="E10" i="2"/>
  <c r="F9" i="2"/>
  <c r="H8" i="2"/>
  <c r="I8" i="2"/>
  <c r="G8" i="2"/>
  <c r="J8" i="2" s="1"/>
  <c r="K8" i="2" l="1"/>
  <c r="O8" i="2" s="1"/>
  <c r="M8" i="2"/>
  <c r="N8" i="2" s="1"/>
  <c r="G9" i="2"/>
  <c r="H9" i="2"/>
  <c r="I9" i="2"/>
  <c r="F10" i="2"/>
  <c r="E11" i="2"/>
  <c r="K7" i="2"/>
  <c r="O7" i="2" s="1"/>
  <c r="M7" i="2"/>
  <c r="N7" i="2" s="1"/>
  <c r="E12" i="2" l="1"/>
  <c r="F11" i="2"/>
  <c r="H10" i="2"/>
  <c r="I10" i="2"/>
  <c r="G10" i="2"/>
  <c r="J10" i="2" s="1"/>
  <c r="J9" i="2"/>
  <c r="L8" i="2"/>
  <c r="L7" i="2"/>
  <c r="K9" i="2" l="1"/>
  <c r="L9" i="2" s="1"/>
  <c r="M9" i="2"/>
  <c r="N9" i="2" s="1"/>
  <c r="K10" i="2"/>
  <c r="L10" i="2" s="1"/>
  <c r="M10" i="2"/>
  <c r="N10" i="2"/>
  <c r="G11" i="2"/>
  <c r="J11" i="2" s="1"/>
  <c r="H11" i="2"/>
  <c r="I11" i="2"/>
  <c r="F12" i="2"/>
  <c r="E13" i="2"/>
  <c r="O9" i="2" l="1"/>
  <c r="K11" i="2"/>
  <c r="L11" i="2" s="1"/>
  <c r="M11" i="2"/>
  <c r="N11" i="2"/>
  <c r="E14" i="2"/>
  <c r="F13" i="2"/>
  <c r="G12" i="2"/>
  <c r="H12" i="2"/>
  <c r="I12" i="2"/>
  <c r="O10" i="2"/>
  <c r="J12" i="2" l="1"/>
  <c r="H13" i="2"/>
  <c r="G13" i="2"/>
  <c r="J13" i="2" s="1"/>
  <c r="I13" i="2"/>
  <c r="O11" i="2"/>
  <c r="E15" i="2"/>
  <c r="F14" i="2"/>
  <c r="E16" i="2" l="1"/>
  <c r="F15" i="2"/>
  <c r="H14" i="2"/>
  <c r="I14" i="2"/>
  <c r="G14" i="2"/>
  <c r="J14" i="2" s="1"/>
  <c r="M13" i="2"/>
  <c r="N13" i="2" s="1"/>
  <c r="K13" i="2"/>
  <c r="L13" i="2" s="1"/>
  <c r="M12" i="2"/>
  <c r="O12" i="2" s="1"/>
  <c r="L12" i="2"/>
  <c r="K12" i="2"/>
  <c r="O13" i="2" l="1"/>
  <c r="K14" i="2"/>
  <c r="L14" i="2" s="1"/>
  <c r="M14" i="2"/>
  <c r="N14" i="2" s="1"/>
  <c r="N12" i="2"/>
  <c r="I15" i="2"/>
  <c r="G15" i="2"/>
  <c r="H15" i="2"/>
  <c r="E17" i="2"/>
  <c r="F16" i="2"/>
  <c r="F17" i="2" l="1"/>
  <c r="E18" i="2"/>
  <c r="O14" i="2"/>
  <c r="H16" i="2"/>
  <c r="G16" i="2"/>
  <c r="I16" i="2"/>
  <c r="J15" i="2"/>
  <c r="K15" i="2" l="1"/>
  <c r="L15" i="2"/>
  <c r="M15" i="2"/>
  <c r="N15" i="2" s="1"/>
  <c r="O15" i="2"/>
  <c r="J16" i="2"/>
  <c r="F18" i="2"/>
  <c r="E19" i="2"/>
  <c r="G17" i="2"/>
  <c r="H17" i="2"/>
  <c r="I17" i="2"/>
  <c r="E20" i="2" l="1"/>
  <c r="F19" i="2"/>
  <c r="M16" i="2"/>
  <c r="K16" i="2"/>
  <c r="O16" i="2" s="1"/>
  <c r="N16" i="2"/>
  <c r="J17" i="2"/>
  <c r="G18" i="2"/>
  <c r="H18" i="2"/>
  <c r="I18" i="2"/>
  <c r="L16" i="2" l="1"/>
  <c r="J18" i="2"/>
  <c r="M17" i="2"/>
  <c r="O17" i="2" s="1"/>
  <c r="K17" i="2"/>
  <c r="L17" i="2"/>
  <c r="N17" i="2"/>
  <c r="H19" i="2"/>
  <c r="G19" i="2"/>
  <c r="J19" i="2" s="1"/>
  <c r="I19" i="2"/>
  <c r="E21" i="2"/>
  <c r="F20" i="2"/>
  <c r="M19" i="2" l="1"/>
  <c r="N19" i="2" s="1"/>
  <c r="K19" i="2"/>
  <c r="L19" i="2"/>
  <c r="O19" i="2"/>
  <c r="I20" i="2"/>
  <c r="G20" i="2"/>
  <c r="J20" i="2" s="1"/>
  <c r="H20" i="2"/>
  <c r="F21" i="2"/>
  <c r="E22" i="2"/>
  <c r="L18" i="2"/>
  <c r="N18" i="2"/>
  <c r="K18" i="2"/>
  <c r="O18" i="2" s="1"/>
  <c r="M18" i="2"/>
  <c r="M20" i="2" l="1"/>
  <c r="K20" i="2"/>
  <c r="O20" i="2" s="1"/>
  <c r="N20" i="2"/>
  <c r="F22" i="2"/>
  <c r="E23" i="2"/>
  <c r="I21" i="2"/>
  <c r="H21" i="2"/>
  <c r="G21" i="2"/>
  <c r="J21" i="2" s="1"/>
  <c r="K21" i="2" l="1"/>
  <c r="L21" i="2" s="1"/>
  <c r="M21" i="2"/>
  <c r="N21" i="2"/>
  <c r="G22" i="2"/>
  <c r="I22" i="2"/>
  <c r="H22" i="2"/>
  <c r="L20" i="2"/>
  <c r="E24" i="2"/>
  <c r="F23" i="2"/>
  <c r="I23" i="2" l="1"/>
  <c r="G23" i="2"/>
  <c r="J23" i="2" s="1"/>
  <c r="H23" i="2"/>
  <c r="O21" i="2"/>
  <c r="E25" i="2"/>
  <c r="F24" i="2"/>
  <c r="J22" i="2"/>
  <c r="K22" i="2" l="1"/>
  <c r="M22" i="2"/>
  <c r="N22" i="2" s="1"/>
  <c r="L22" i="2"/>
  <c r="O22" i="2"/>
  <c r="G24" i="2"/>
  <c r="H24" i="2"/>
  <c r="I24" i="2"/>
  <c r="F25" i="2"/>
  <c r="E26" i="2"/>
  <c r="L23" i="2"/>
  <c r="M23" i="2"/>
  <c r="N23" i="2" s="1"/>
  <c r="K23" i="2"/>
  <c r="O23" i="2" s="1"/>
  <c r="E27" i="2" l="1"/>
  <c r="F26" i="2"/>
  <c r="H25" i="2"/>
  <c r="G25" i="2"/>
  <c r="I25" i="2"/>
  <c r="J24" i="2"/>
  <c r="H26" i="2" l="1"/>
  <c r="G26" i="2"/>
  <c r="I26" i="2"/>
  <c r="M24" i="2"/>
  <c r="K24" i="2"/>
  <c r="O24" i="2" s="1"/>
  <c r="L24" i="2"/>
  <c r="N24" i="2"/>
  <c r="J25" i="2"/>
  <c r="E28" i="2"/>
  <c r="F27" i="2"/>
  <c r="F28" i="2" l="1"/>
  <c r="E29" i="2"/>
  <c r="H27" i="2"/>
  <c r="I27" i="2"/>
  <c r="G27" i="2"/>
  <c r="J27" i="2" s="1"/>
  <c r="J26" i="2"/>
  <c r="M25" i="2"/>
  <c r="N25" i="2" s="1"/>
  <c r="K25" i="2"/>
  <c r="L25" i="2" s="1"/>
  <c r="K26" i="2" l="1"/>
  <c r="O26" i="2" s="1"/>
  <c r="M26" i="2"/>
  <c r="N26" i="2" s="1"/>
  <c r="K27" i="2"/>
  <c r="L27" i="2" s="1"/>
  <c r="M27" i="2"/>
  <c r="O27" i="2" s="1"/>
  <c r="O25" i="2"/>
  <c r="F29" i="2"/>
  <c r="E30" i="2"/>
  <c r="G28" i="2"/>
  <c r="H28" i="2"/>
  <c r="I28" i="2"/>
  <c r="N27" i="2" l="1"/>
  <c r="I29" i="2"/>
  <c r="G29" i="2"/>
  <c r="H29" i="2"/>
  <c r="L26" i="2"/>
  <c r="J28" i="2"/>
  <c r="F30" i="2"/>
  <c r="E31" i="2"/>
  <c r="G30" i="2" l="1"/>
  <c r="H30" i="2"/>
  <c r="I30" i="2"/>
  <c r="E32" i="2"/>
  <c r="F31" i="2"/>
  <c r="K28" i="2"/>
  <c r="O28" i="2" s="1"/>
  <c r="M28" i="2"/>
  <c r="N28" i="2" s="1"/>
  <c r="J29" i="2"/>
  <c r="K29" i="2" l="1"/>
  <c r="L29" i="2" s="1"/>
  <c r="M29" i="2"/>
  <c r="N29" i="2" s="1"/>
  <c r="H31" i="2"/>
  <c r="I31" i="2"/>
  <c r="G31" i="2"/>
  <c r="J31" i="2" s="1"/>
  <c r="L28" i="2"/>
  <c r="F32" i="2"/>
  <c r="E33" i="2"/>
  <c r="J30" i="2"/>
  <c r="E34" i="2" l="1"/>
  <c r="F33" i="2"/>
  <c r="M31" i="2"/>
  <c r="K31" i="2"/>
  <c r="L31" i="2" s="1"/>
  <c r="O31" i="2"/>
  <c r="N31" i="2"/>
  <c r="O29" i="2"/>
  <c r="K30" i="2"/>
  <c r="L30" i="2" s="1"/>
  <c r="M30" i="2"/>
  <c r="N30" i="2" s="1"/>
  <c r="I32" i="2"/>
  <c r="H32" i="2"/>
  <c r="G32" i="2"/>
  <c r="J32" i="2" s="1"/>
  <c r="O30" i="2" l="1"/>
  <c r="M32" i="2"/>
  <c r="K32" i="2"/>
  <c r="O32" i="2" s="1"/>
  <c r="N32" i="2"/>
  <c r="L32" i="2"/>
  <c r="G33" i="2"/>
  <c r="I33" i="2"/>
  <c r="H33" i="2"/>
  <c r="F34" i="2"/>
  <c r="E35" i="2"/>
  <c r="G34" i="2" l="1"/>
  <c r="H34" i="2"/>
  <c r="I34" i="2"/>
  <c r="F35" i="2"/>
  <c r="E36" i="2"/>
  <c r="J33" i="2"/>
  <c r="M33" i="2" l="1"/>
  <c r="K33" i="2"/>
  <c r="O33" i="2" s="1"/>
  <c r="L33" i="2"/>
  <c r="N33" i="2"/>
  <c r="H35" i="2"/>
  <c r="I35" i="2"/>
  <c r="G35" i="2"/>
  <c r="J35" i="2" s="1"/>
  <c r="E37" i="2"/>
  <c r="F36" i="2"/>
  <c r="J34" i="2"/>
  <c r="G36" i="2" l="1"/>
  <c r="I36" i="2"/>
  <c r="H36" i="2"/>
  <c r="K34" i="2"/>
  <c r="M34" i="2"/>
  <c r="N34" i="2" s="1"/>
  <c r="L34" i="2"/>
  <c r="O34" i="2"/>
  <c r="E38" i="2"/>
  <c r="F37" i="2"/>
  <c r="L35" i="2"/>
  <c r="M35" i="2"/>
  <c r="N35" i="2" s="1"/>
  <c r="K35" i="2"/>
  <c r="O35" i="2" s="1"/>
  <c r="H37" i="2" l="1"/>
  <c r="I37" i="2"/>
  <c r="G37" i="2"/>
  <c r="F38" i="2"/>
  <c r="E39" i="2"/>
  <c r="J36" i="2"/>
  <c r="M36" i="2" l="1"/>
  <c r="K36" i="2"/>
  <c r="L36" i="2" s="1"/>
  <c r="N36" i="2"/>
  <c r="O36" i="2"/>
  <c r="G38" i="2"/>
  <c r="H38" i="2"/>
  <c r="I38" i="2"/>
  <c r="E40" i="2"/>
  <c r="F39" i="2"/>
  <c r="J37" i="2"/>
  <c r="M37" i="2" l="1"/>
  <c r="N37" i="2" s="1"/>
  <c r="K37" i="2"/>
  <c r="L37" i="2" s="1"/>
  <c r="O37" i="2"/>
  <c r="H39" i="2"/>
  <c r="I39" i="2"/>
  <c r="G39" i="2"/>
  <c r="J39" i="2" s="1"/>
  <c r="J38" i="2"/>
  <c r="F40" i="2"/>
  <c r="E41" i="2"/>
  <c r="G40" i="2" l="1"/>
  <c r="H40" i="2"/>
  <c r="I40" i="2"/>
  <c r="K38" i="2"/>
  <c r="O38" i="2" s="1"/>
  <c r="M38" i="2"/>
  <c r="N38" i="2" s="1"/>
  <c r="F41" i="2"/>
  <c r="E42" i="2"/>
  <c r="L39" i="2"/>
  <c r="M39" i="2"/>
  <c r="N39" i="2" s="1"/>
  <c r="K39" i="2"/>
  <c r="O39" i="2" s="1"/>
  <c r="H41" i="2" l="1"/>
  <c r="G41" i="2"/>
  <c r="I41" i="2"/>
  <c r="F42" i="2"/>
  <c r="E43" i="2"/>
  <c r="L38" i="2"/>
  <c r="J40" i="2"/>
  <c r="G42" i="2" l="1"/>
  <c r="H42" i="2"/>
  <c r="I42" i="2"/>
  <c r="J41" i="2"/>
  <c r="K40" i="2"/>
  <c r="L40" i="2"/>
  <c r="M40" i="2"/>
  <c r="N40" i="2" s="1"/>
  <c r="F43" i="2"/>
  <c r="E44" i="2"/>
  <c r="F44" i="2" l="1"/>
  <c r="E45" i="2"/>
  <c r="O40" i="2"/>
  <c r="K41" i="2"/>
  <c r="L41" i="2" s="1"/>
  <c r="M41" i="2"/>
  <c r="N41" i="2" s="1"/>
  <c r="H43" i="2"/>
  <c r="I43" i="2"/>
  <c r="G43" i="2"/>
  <c r="J42" i="2"/>
  <c r="K42" i="2" l="1"/>
  <c r="L42" i="2" s="1"/>
  <c r="M42" i="2"/>
  <c r="N42" i="2" s="1"/>
  <c r="J43" i="2"/>
  <c r="O41" i="2"/>
  <c r="E46" i="2"/>
  <c r="F45" i="2"/>
  <c r="I44" i="2"/>
  <c r="G44" i="2"/>
  <c r="H44" i="2"/>
  <c r="J44" i="2" l="1"/>
  <c r="E47" i="2"/>
  <c r="F46" i="2"/>
  <c r="M43" i="2"/>
  <c r="K43" i="2"/>
  <c r="O43" i="2" s="1"/>
  <c r="N43" i="2"/>
  <c r="I45" i="2"/>
  <c r="G45" i="2"/>
  <c r="J45" i="2" s="1"/>
  <c r="H45" i="2"/>
  <c r="O42" i="2"/>
  <c r="M45" i="2" l="1"/>
  <c r="K45" i="2"/>
  <c r="N45" i="2"/>
  <c r="O45" i="2"/>
  <c r="L45" i="2"/>
  <c r="L43" i="2"/>
  <c r="F47" i="2"/>
  <c r="E48" i="2"/>
  <c r="G46" i="2"/>
  <c r="H46" i="2"/>
  <c r="I46" i="2"/>
  <c r="N44" i="2"/>
  <c r="M44" i="2"/>
  <c r="K44" i="2"/>
  <c r="L44" i="2" s="1"/>
  <c r="F48" i="2" l="1"/>
  <c r="E49" i="2"/>
  <c r="J46" i="2"/>
  <c r="G47" i="2"/>
  <c r="H47" i="2"/>
  <c r="I47" i="2"/>
  <c r="O44" i="2"/>
  <c r="J47" i="2" l="1"/>
  <c r="F49" i="2"/>
  <c r="E50" i="2"/>
  <c r="K46" i="2"/>
  <c r="M46" i="2"/>
  <c r="N46" i="2" s="1"/>
  <c r="L46" i="2"/>
  <c r="I48" i="2"/>
  <c r="H48" i="2"/>
  <c r="G48" i="2"/>
  <c r="J48" i="2" s="1"/>
  <c r="M48" i="2" l="1"/>
  <c r="N48" i="2"/>
  <c r="K48" i="2"/>
  <c r="L48" i="2" s="1"/>
  <c r="O46" i="2"/>
  <c r="H49" i="2"/>
  <c r="G49" i="2"/>
  <c r="J49" i="2" s="1"/>
  <c r="I49" i="2"/>
  <c r="E51" i="2"/>
  <c r="F50" i="2"/>
  <c r="L47" i="2"/>
  <c r="K47" i="2"/>
  <c r="O47" i="2" s="1"/>
  <c r="M47" i="2"/>
  <c r="N47" i="2"/>
  <c r="K49" i="2" l="1"/>
  <c r="L49" i="2" s="1"/>
  <c r="M49" i="2"/>
  <c r="N49" i="2" s="1"/>
  <c r="E52" i="2"/>
  <c r="F51" i="2"/>
  <c r="O48" i="2"/>
  <c r="G50" i="2"/>
  <c r="I50" i="2"/>
  <c r="H50" i="2"/>
  <c r="E53" i="2" l="1"/>
  <c r="F52" i="2"/>
  <c r="O49" i="2"/>
  <c r="J50" i="2"/>
  <c r="H51" i="2"/>
  <c r="I51" i="2"/>
  <c r="G51" i="2"/>
  <c r="J51" i="2" s="1"/>
  <c r="K51" i="2" l="1"/>
  <c r="O51" i="2" s="1"/>
  <c r="M51" i="2"/>
  <c r="N51" i="2"/>
  <c r="M50" i="2"/>
  <c r="N50" i="2" s="1"/>
  <c r="K50" i="2"/>
  <c r="O50" i="2" s="1"/>
  <c r="H52" i="2"/>
  <c r="G52" i="2"/>
  <c r="J52" i="2" s="1"/>
  <c r="I52" i="2"/>
  <c r="F53" i="2"/>
  <c r="E54" i="2"/>
  <c r="E55" i="2" l="1"/>
  <c r="F54" i="2"/>
  <c r="G53" i="2"/>
  <c r="H53" i="2"/>
  <c r="I53" i="2"/>
  <c r="L51" i="2"/>
  <c r="K52" i="2"/>
  <c r="L52" i="2" s="1"/>
  <c r="M52" i="2"/>
  <c r="N52" i="2" s="1"/>
  <c r="L50" i="2"/>
  <c r="O52" i="2" l="1"/>
  <c r="G54" i="2"/>
  <c r="I54" i="2"/>
  <c r="H54" i="2"/>
  <c r="J53" i="2"/>
  <c r="E56" i="2"/>
  <c r="F55" i="2"/>
  <c r="K53" i="2" l="1"/>
  <c r="L53" i="2" s="1"/>
  <c r="M53" i="2"/>
  <c r="N53" i="2"/>
  <c r="O53" i="2"/>
  <c r="J54" i="2"/>
  <c r="H55" i="2"/>
  <c r="I55" i="2"/>
  <c r="G55" i="2"/>
  <c r="J55" i="2" s="1"/>
  <c r="F56" i="2"/>
  <c r="E57" i="2"/>
  <c r="E58" i="2" l="1"/>
  <c r="F57" i="2"/>
  <c r="K55" i="2"/>
  <c r="L55" i="2"/>
  <c r="M55" i="2"/>
  <c r="N55" i="2" s="1"/>
  <c r="I56" i="2"/>
  <c r="H56" i="2"/>
  <c r="G56" i="2"/>
  <c r="J56" i="2" s="1"/>
  <c r="M54" i="2"/>
  <c r="O54" i="2" s="1"/>
  <c r="K54" i="2"/>
  <c r="L54" i="2" s="1"/>
  <c r="M56" i="2" l="1"/>
  <c r="K56" i="2"/>
  <c r="L56" i="2"/>
  <c r="N56" i="2"/>
  <c r="O56" i="2"/>
  <c r="N54" i="2"/>
  <c r="O55" i="2"/>
  <c r="I57" i="2"/>
  <c r="G57" i="2"/>
  <c r="H57" i="2"/>
  <c r="E59" i="2"/>
  <c r="F58" i="2"/>
  <c r="G58" i="2" l="1"/>
  <c r="H58" i="2"/>
  <c r="I58" i="2"/>
  <c r="F59" i="2"/>
  <c r="E60" i="2"/>
  <c r="J57" i="2"/>
  <c r="E61" i="2" l="1"/>
  <c r="F60" i="2"/>
  <c r="K57" i="2"/>
  <c r="O57" i="2" s="1"/>
  <c r="M57" i="2"/>
  <c r="N57" i="2" s="1"/>
  <c r="L57" i="2"/>
  <c r="H59" i="2"/>
  <c r="G59" i="2"/>
  <c r="I59" i="2"/>
  <c r="J58" i="2"/>
  <c r="J59" i="2" l="1"/>
  <c r="H60" i="2"/>
  <c r="G60" i="2"/>
  <c r="I60" i="2"/>
  <c r="K58" i="2"/>
  <c r="M58" i="2"/>
  <c r="O58" i="2"/>
  <c r="L58" i="2"/>
  <c r="N58" i="2"/>
  <c r="F61" i="2"/>
  <c r="E62" i="2"/>
  <c r="H61" i="2" l="1"/>
  <c r="G61" i="2"/>
  <c r="I61" i="2"/>
  <c r="J60" i="2"/>
  <c r="F62" i="2"/>
  <c r="E63" i="2"/>
  <c r="K59" i="2"/>
  <c r="L59" i="2" s="1"/>
  <c r="M59" i="2"/>
  <c r="O59" i="2" s="1"/>
  <c r="N59" i="2" l="1"/>
  <c r="E64" i="2"/>
  <c r="F63" i="2"/>
  <c r="M60" i="2"/>
  <c r="K60" i="2"/>
  <c r="L60" i="2" s="1"/>
  <c r="N60" i="2"/>
  <c r="J61" i="2"/>
  <c r="I62" i="2"/>
  <c r="G62" i="2"/>
  <c r="H62" i="2"/>
  <c r="J62" i="2" l="1"/>
  <c r="E65" i="2"/>
  <c r="F64" i="2"/>
  <c r="M61" i="2"/>
  <c r="N61" i="2" s="1"/>
  <c r="K61" i="2"/>
  <c r="O61" i="2" s="1"/>
  <c r="O60" i="2"/>
  <c r="G63" i="2"/>
  <c r="H63" i="2"/>
  <c r="I63" i="2"/>
  <c r="J63" i="2" l="1"/>
  <c r="L61" i="2"/>
  <c r="F65" i="2"/>
  <c r="E66" i="2"/>
  <c r="G64" i="2"/>
  <c r="I64" i="2"/>
  <c r="H64" i="2"/>
  <c r="K62" i="2"/>
  <c r="L62" i="2" s="1"/>
  <c r="M62" i="2"/>
  <c r="N62" i="2"/>
  <c r="O62" i="2" l="1"/>
  <c r="H65" i="2"/>
  <c r="I65" i="2"/>
  <c r="G65" i="2"/>
  <c r="J65" i="2" s="1"/>
  <c r="J64" i="2"/>
  <c r="E67" i="2"/>
  <c r="F66" i="2"/>
  <c r="K63" i="2"/>
  <c r="O63" i="2" s="1"/>
  <c r="M63" i="2"/>
  <c r="N63" i="2" s="1"/>
  <c r="L63" i="2" l="1"/>
  <c r="G66" i="2"/>
  <c r="H66" i="2"/>
  <c r="I66" i="2"/>
  <c r="K65" i="2"/>
  <c r="O65" i="2" s="1"/>
  <c r="M65" i="2"/>
  <c r="N65" i="2" s="1"/>
  <c r="F67" i="2"/>
  <c r="E68" i="2"/>
  <c r="N64" i="2"/>
  <c r="M64" i="2"/>
  <c r="K64" i="2"/>
  <c r="L64" i="2" s="1"/>
  <c r="F68" i="2" l="1"/>
  <c r="E69" i="2"/>
  <c r="H67" i="2"/>
  <c r="I67" i="2"/>
  <c r="G67" i="2"/>
  <c r="J67" i="2" s="1"/>
  <c r="L65" i="2"/>
  <c r="J66" i="2"/>
  <c r="O64" i="2"/>
  <c r="K66" i="2" l="1"/>
  <c r="L66" i="2" s="1"/>
  <c r="M66" i="2"/>
  <c r="N66" i="2" s="1"/>
  <c r="O66" i="2"/>
  <c r="F69" i="2"/>
  <c r="E70" i="2"/>
  <c r="M67" i="2"/>
  <c r="N67" i="2" s="1"/>
  <c r="K67" i="2"/>
  <c r="L67" i="2" s="1"/>
  <c r="I68" i="2"/>
  <c r="H68" i="2"/>
  <c r="G68" i="2"/>
  <c r="J68" i="2" s="1"/>
  <c r="E71" i="2" l="1"/>
  <c r="F70" i="2"/>
  <c r="O67" i="2"/>
  <c r="G69" i="2"/>
  <c r="I69" i="2"/>
  <c r="H69" i="2"/>
  <c r="M68" i="2"/>
  <c r="N68" i="2" s="1"/>
  <c r="K68" i="2"/>
  <c r="L68" i="2" s="1"/>
  <c r="O68" i="2"/>
  <c r="J69" i="2" l="1"/>
  <c r="I70" i="2"/>
  <c r="G70" i="2"/>
  <c r="H70" i="2"/>
  <c r="E72" i="2"/>
  <c r="F71" i="2"/>
  <c r="E73" i="2" l="1"/>
  <c r="F72" i="2"/>
  <c r="J70" i="2"/>
  <c r="G71" i="2"/>
  <c r="I71" i="2"/>
  <c r="H71" i="2"/>
  <c r="K69" i="2"/>
  <c r="L69" i="2" s="1"/>
  <c r="M69" i="2"/>
  <c r="N69" i="2" s="1"/>
  <c r="O69" i="2" l="1"/>
  <c r="J71" i="2"/>
  <c r="G72" i="2"/>
  <c r="H72" i="2"/>
  <c r="I72" i="2"/>
  <c r="K70" i="2"/>
  <c r="L70" i="2" s="1"/>
  <c r="M70" i="2"/>
  <c r="N70" i="2" s="1"/>
  <c r="E74" i="2"/>
  <c r="F73" i="2"/>
  <c r="I73" i="2" l="1"/>
  <c r="H73" i="2"/>
  <c r="G73" i="2"/>
  <c r="J73" i="2" s="1"/>
  <c r="M71" i="2"/>
  <c r="N71" i="2" s="1"/>
  <c r="K71" i="2"/>
  <c r="L71" i="2" s="1"/>
  <c r="E75" i="2"/>
  <c r="F74" i="2"/>
  <c r="O70" i="2"/>
  <c r="J72" i="2"/>
  <c r="E76" i="2" l="1"/>
  <c r="F75" i="2"/>
  <c r="O71" i="2"/>
  <c r="K73" i="2"/>
  <c r="O73" i="2" s="1"/>
  <c r="L73" i="2"/>
  <c r="M73" i="2"/>
  <c r="N73" i="2" s="1"/>
  <c r="M72" i="2"/>
  <c r="K72" i="2"/>
  <c r="O72" i="2" s="1"/>
  <c r="N72" i="2"/>
  <c r="H74" i="2"/>
  <c r="I74" i="2"/>
  <c r="G74" i="2"/>
  <c r="J74" i="2" s="1"/>
  <c r="L72" i="2" l="1"/>
  <c r="G75" i="2"/>
  <c r="H75" i="2"/>
  <c r="I75" i="2"/>
  <c r="K74" i="2"/>
  <c r="O74" i="2" s="1"/>
  <c r="M74" i="2"/>
  <c r="N74" i="2" s="1"/>
  <c r="L74" i="2"/>
  <c r="F76" i="2"/>
  <c r="E77" i="2"/>
  <c r="H76" i="2" l="1"/>
  <c r="I76" i="2"/>
  <c r="G76" i="2"/>
  <c r="J76" i="2" s="1"/>
  <c r="J75" i="2"/>
  <c r="F77" i="2"/>
  <c r="E78" i="2"/>
  <c r="F78" i="2" l="1"/>
  <c r="E79" i="2"/>
  <c r="M75" i="2"/>
  <c r="K75" i="2"/>
  <c r="L75" i="2"/>
  <c r="N75" i="2"/>
  <c r="O75" i="2"/>
  <c r="G77" i="2"/>
  <c r="H77" i="2"/>
  <c r="I77" i="2"/>
  <c r="O76" i="2"/>
  <c r="N76" i="2"/>
  <c r="K76" i="2"/>
  <c r="L76" i="2"/>
  <c r="M76" i="2"/>
  <c r="F79" i="2" l="1"/>
  <c r="E80" i="2"/>
  <c r="J77" i="2"/>
  <c r="G78" i="2"/>
  <c r="H78" i="2"/>
  <c r="I78" i="2"/>
  <c r="J78" i="2" l="1"/>
  <c r="F80" i="2"/>
  <c r="E81" i="2"/>
  <c r="M77" i="2"/>
  <c r="K77" i="2"/>
  <c r="L77" i="2" s="1"/>
  <c r="N77" i="2"/>
  <c r="H79" i="2"/>
  <c r="I79" i="2"/>
  <c r="G79" i="2"/>
  <c r="J79" i="2" s="1"/>
  <c r="K79" i="2" l="1"/>
  <c r="L79" i="2" s="1"/>
  <c r="M79" i="2"/>
  <c r="N79" i="2"/>
  <c r="O79" i="2"/>
  <c r="O77" i="2"/>
  <c r="I80" i="2"/>
  <c r="G80" i="2"/>
  <c r="H80" i="2"/>
  <c r="F81" i="2"/>
  <c r="E82" i="2"/>
  <c r="K78" i="2"/>
  <c r="O78" i="2" s="1"/>
  <c r="M78" i="2"/>
  <c r="N78" i="2" s="1"/>
  <c r="G81" i="2" l="1"/>
  <c r="H81" i="2"/>
  <c r="I81" i="2"/>
  <c r="L78" i="2"/>
  <c r="F82" i="2"/>
  <c r="E83" i="2"/>
  <c r="J80" i="2"/>
  <c r="F83" i="2" l="1"/>
  <c r="E84" i="2"/>
  <c r="K80" i="2"/>
  <c r="L80" i="2" s="1"/>
  <c r="M80" i="2"/>
  <c r="O80" i="2" s="1"/>
  <c r="G82" i="2"/>
  <c r="H82" i="2"/>
  <c r="I82" i="2"/>
  <c r="J81" i="2"/>
  <c r="M81" i="2" l="1"/>
  <c r="K81" i="2"/>
  <c r="O81" i="2" s="1"/>
  <c r="N81" i="2"/>
  <c r="N80" i="2"/>
  <c r="F84" i="2"/>
  <c r="E85" i="2"/>
  <c r="J82" i="2"/>
  <c r="I83" i="2"/>
  <c r="H83" i="2"/>
  <c r="G83" i="2"/>
  <c r="J83" i="2" l="1"/>
  <c r="E86" i="2"/>
  <c r="F85" i="2"/>
  <c r="L81" i="2"/>
  <c r="K82" i="2"/>
  <c r="O82" i="2" s="1"/>
  <c r="L82" i="2"/>
  <c r="M82" i="2"/>
  <c r="N82" i="2" s="1"/>
  <c r="G84" i="2"/>
  <c r="H84" i="2"/>
  <c r="I84" i="2"/>
  <c r="E87" i="2" l="1"/>
  <c r="F86" i="2"/>
  <c r="J84" i="2"/>
  <c r="H85" i="2"/>
  <c r="G85" i="2"/>
  <c r="I85" i="2"/>
  <c r="K83" i="2"/>
  <c r="L83" i="2" s="1"/>
  <c r="M83" i="2"/>
  <c r="N83" i="2" s="1"/>
  <c r="G86" i="2" l="1"/>
  <c r="H86" i="2"/>
  <c r="I86" i="2"/>
  <c r="O83" i="2"/>
  <c r="J85" i="2"/>
  <c r="M84" i="2"/>
  <c r="N84" i="2"/>
  <c r="K84" i="2"/>
  <c r="L84" i="2" s="1"/>
  <c r="E88" i="2"/>
  <c r="F87" i="2"/>
  <c r="H87" i="2" l="1"/>
  <c r="G87" i="2"/>
  <c r="I87" i="2"/>
  <c r="E89" i="2"/>
  <c r="F88" i="2"/>
  <c r="O84" i="2"/>
  <c r="K85" i="2"/>
  <c r="L85" i="2" s="1"/>
  <c r="M85" i="2"/>
  <c r="N85" i="2" s="1"/>
  <c r="O85" i="2"/>
  <c r="J86" i="2"/>
  <c r="F89" i="2" l="1"/>
  <c r="E90" i="2"/>
  <c r="J87" i="2"/>
  <c r="O86" i="2"/>
  <c r="M86" i="2"/>
  <c r="N86" i="2"/>
  <c r="L86" i="2"/>
  <c r="K86" i="2"/>
  <c r="G88" i="2"/>
  <c r="H88" i="2"/>
  <c r="I88" i="2"/>
  <c r="E91" i="2" l="1"/>
  <c r="F90" i="2"/>
  <c r="J88" i="2"/>
  <c r="K87" i="2"/>
  <c r="O87" i="2" s="1"/>
  <c r="M87" i="2"/>
  <c r="N87" i="2" s="1"/>
  <c r="H89" i="2"/>
  <c r="I89" i="2"/>
  <c r="G89" i="2"/>
  <c r="L87" i="2" l="1"/>
  <c r="G90" i="2"/>
  <c r="I90" i="2"/>
  <c r="H90" i="2"/>
  <c r="J89" i="2"/>
  <c r="K88" i="2"/>
  <c r="L88" i="2" s="1"/>
  <c r="M88" i="2"/>
  <c r="N88" i="2" s="1"/>
  <c r="O88" i="2"/>
  <c r="F91" i="2"/>
  <c r="E92" i="2"/>
  <c r="F92" i="2" l="1"/>
  <c r="E93" i="2"/>
  <c r="J90" i="2"/>
  <c r="H91" i="2"/>
  <c r="G91" i="2"/>
  <c r="I91" i="2"/>
  <c r="K89" i="2"/>
  <c r="O89" i="2" s="1"/>
  <c r="M89" i="2"/>
  <c r="N89" i="2" s="1"/>
  <c r="L89" i="2"/>
  <c r="K90" i="2" l="1"/>
  <c r="L90" i="2" s="1"/>
  <c r="M90" i="2"/>
  <c r="N90" i="2" s="1"/>
  <c r="E94" i="2"/>
  <c r="F93" i="2"/>
  <c r="J91" i="2"/>
  <c r="I92" i="2"/>
  <c r="G92" i="2"/>
  <c r="H92" i="2"/>
  <c r="K91" i="2" l="1"/>
  <c r="O91" i="2" s="1"/>
  <c r="M91" i="2"/>
  <c r="N91" i="2" s="1"/>
  <c r="J92" i="2"/>
  <c r="G93" i="2"/>
  <c r="I93" i="2"/>
  <c r="H93" i="2"/>
  <c r="O90" i="2"/>
  <c r="E95" i="2"/>
  <c r="F94" i="2"/>
  <c r="F95" i="2" l="1"/>
  <c r="E96" i="2"/>
  <c r="K92" i="2"/>
  <c r="O92" i="2" s="1"/>
  <c r="M92" i="2"/>
  <c r="L92" i="2"/>
  <c r="N92" i="2"/>
  <c r="G94" i="2"/>
  <c r="H94" i="2"/>
  <c r="I94" i="2"/>
  <c r="J93" i="2"/>
  <c r="L91" i="2"/>
  <c r="J94" i="2" l="1"/>
  <c r="K93" i="2"/>
  <c r="L93" i="2" s="1"/>
  <c r="M93" i="2"/>
  <c r="N93" i="2" s="1"/>
  <c r="E97" i="2"/>
  <c r="F96" i="2"/>
  <c r="I95" i="2"/>
  <c r="H95" i="2"/>
  <c r="G95" i="2"/>
  <c r="J95" i="2" s="1"/>
  <c r="F97" i="2" l="1"/>
  <c r="E98" i="2"/>
  <c r="M95" i="2"/>
  <c r="N95" i="2"/>
  <c r="K95" i="2"/>
  <c r="L95" i="2" s="1"/>
  <c r="H96" i="2"/>
  <c r="G96" i="2"/>
  <c r="I96" i="2"/>
  <c r="O93" i="2"/>
  <c r="K94" i="2"/>
  <c r="L94" i="2" s="1"/>
  <c r="M94" i="2"/>
  <c r="N94" i="2" s="1"/>
  <c r="O94" i="2" l="1"/>
  <c r="O95" i="2"/>
  <c r="J96" i="2"/>
  <c r="F98" i="2"/>
  <c r="E99" i="2"/>
  <c r="H97" i="2"/>
  <c r="G97" i="2"/>
  <c r="I97" i="2"/>
  <c r="F99" i="2" l="1"/>
  <c r="E100" i="2"/>
  <c r="J97" i="2"/>
  <c r="G98" i="2"/>
  <c r="I98" i="2"/>
  <c r="H98" i="2"/>
  <c r="K96" i="2"/>
  <c r="L96" i="2" s="1"/>
  <c r="M96" i="2"/>
  <c r="O96" i="2" s="1"/>
  <c r="M97" i="2" l="1"/>
  <c r="N97" i="2" s="1"/>
  <c r="K97" i="2"/>
  <c r="L97" i="2" s="1"/>
  <c r="N96" i="2"/>
  <c r="J98" i="2"/>
  <c r="E101" i="2"/>
  <c r="F100" i="2"/>
  <c r="G99" i="2"/>
  <c r="H99" i="2"/>
  <c r="I99" i="2"/>
  <c r="E102" i="2" l="1"/>
  <c r="F101" i="2"/>
  <c r="J99" i="2"/>
  <c r="H100" i="2"/>
  <c r="G100" i="2"/>
  <c r="J100" i="2" s="1"/>
  <c r="I100" i="2"/>
  <c r="K98" i="2"/>
  <c r="L98" i="2" s="1"/>
  <c r="M98" i="2"/>
  <c r="N98" i="2" s="1"/>
  <c r="O98" i="2"/>
  <c r="O97" i="2"/>
  <c r="K100" i="2" l="1"/>
  <c r="L100" i="2" s="1"/>
  <c r="M100" i="2"/>
  <c r="N100" i="2" s="1"/>
  <c r="K99" i="2"/>
  <c r="O99" i="2" s="1"/>
  <c r="M99" i="2"/>
  <c r="N99" i="2" s="1"/>
  <c r="I101" i="2"/>
  <c r="G101" i="2"/>
  <c r="J101" i="2" s="1"/>
  <c r="H101" i="2"/>
  <c r="E103" i="2"/>
  <c r="F102" i="2"/>
  <c r="O100" i="2" l="1"/>
  <c r="M101" i="2"/>
  <c r="N101" i="2" s="1"/>
  <c r="K101" i="2"/>
  <c r="O101" i="2" s="1"/>
  <c r="L99" i="2"/>
  <c r="G102" i="2"/>
  <c r="I102" i="2"/>
  <c r="H102" i="2"/>
  <c r="E104" i="2"/>
  <c r="F103" i="2"/>
  <c r="I103" i="2" l="1"/>
  <c r="H103" i="2"/>
  <c r="G103" i="2"/>
  <c r="J103" i="2" s="1"/>
  <c r="F104" i="2"/>
  <c r="E105" i="2"/>
  <c r="J102" i="2"/>
  <c r="L101" i="2"/>
  <c r="F105" i="2" l="1"/>
  <c r="E106" i="2"/>
  <c r="K102" i="2"/>
  <c r="M102" i="2"/>
  <c r="N102" i="2"/>
  <c r="L102" i="2"/>
  <c r="O102" i="2"/>
  <c r="H104" i="2"/>
  <c r="I104" i="2"/>
  <c r="G104" i="2"/>
  <c r="J104" i="2" s="1"/>
  <c r="K103" i="2"/>
  <c r="O103" i="2" s="1"/>
  <c r="N103" i="2"/>
  <c r="M103" i="2"/>
  <c r="K104" i="2" l="1"/>
  <c r="L104" i="2" s="1"/>
  <c r="M104" i="2"/>
  <c r="O104" i="2" s="1"/>
  <c r="L103" i="2"/>
  <c r="F106" i="2"/>
  <c r="E107" i="2"/>
  <c r="G105" i="2"/>
  <c r="H105" i="2"/>
  <c r="I105" i="2"/>
  <c r="J105" i="2" l="1"/>
  <c r="E108" i="2"/>
  <c r="F107" i="2"/>
  <c r="H106" i="2"/>
  <c r="G106" i="2"/>
  <c r="I106" i="2"/>
  <c r="N104" i="2"/>
  <c r="J106" i="2" l="1"/>
  <c r="I107" i="2"/>
  <c r="G107" i="2"/>
  <c r="J107" i="2" s="1"/>
  <c r="H107" i="2"/>
  <c r="E109" i="2"/>
  <c r="F108" i="2"/>
  <c r="M105" i="2"/>
  <c r="O105" i="2"/>
  <c r="N105" i="2"/>
  <c r="K105" i="2"/>
  <c r="L105" i="2"/>
  <c r="O107" i="2" l="1"/>
  <c r="K107" i="2"/>
  <c r="L107" i="2"/>
  <c r="M107" i="2"/>
  <c r="N107" i="2"/>
  <c r="H108" i="2"/>
  <c r="G108" i="2"/>
  <c r="I108" i="2"/>
  <c r="F109" i="2"/>
  <c r="E110" i="2"/>
  <c r="N106" i="2"/>
  <c r="O106" i="2"/>
  <c r="M106" i="2"/>
  <c r="K106" i="2"/>
  <c r="L106" i="2"/>
  <c r="G109" i="2" l="1"/>
  <c r="H109" i="2"/>
  <c r="I109" i="2"/>
  <c r="J108" i="2"/>
  <c r="F110" i="2"/>
  <c r="E111" i="2"/>
  <c r="F111" i="2" l="1"/>
  <c r="E112" i="2"/>
  <c r="M108" i="2"/>
  <c r="N108" i="2" s="1"/>
  <c r="K108" i="2"/>
  <c r="O108" i="2" s="1"/>
  <c r="G110" i="2"/>
  <c r="H110" i="2"/>
  <c r="I110" i="2"/>
  <c r="J109" i="2"/>
  <c r="M109" i="2" l="1"/>
  <c r="N109" i="2" s="1"/>
  <c r="K109" i="2"/>
  <c r="L109" i="2" s="1"/>
  <c r="L108" i="2"/>
  <c r="J110" i="2"/>
  <c r="F112" i="2"/>
  <c r="E113" i="2"/>
  <c r="G111" i="2"/>
  <c r="H111" i="2"/>
  <c r="I111" i="2"/>
  <c r="E114" i="2" l="1"/>
  <c r="F113" i="2"/>
  <c r="J111" i="2"/>
  <c r="H112" i="2"/>
  <c r="G112" i="2"/>
  <c r="I112" i="2"/>
  <c r="K110" i="2"/>
  <c r="L110" i="2" s="1"/>
  <c r="M110" i="2"/>
  <c r="N110" i="2" s="1"/>
  <c r="O109" i="2"/>
  <c r="O110" i="2" l="1"/>
  <c r="L111" i="2"/>
  <c r="N111" i="2"/>
  <c r="O111" i="2"/>
  <c r="M111" i="2"/>
  <c r="K111" i="2"/>
  <c r="J112" i="2"/>
  <c r="I113" i="2"/>
  <c r="H113" i="2"/>
  <c r="G113" i="2"/>
  <c r="J113" i="2" s="1"/>
  <c r="E115" i="2"/>
  <c r="F114" i="2"/>
  <c r="F115" i="2" l="1"/>
  <c r="E116" i="2"/>
  <c r="H114" i="2"/>
  <c r="I114" i="2"/>
  <c r="G114" i="2"/>
  <c r="J114" i="2" s="1"/>
  <c r="M113" i="2"/>
  <c r="N113" i="2"/>
  <c r="K113" i="2"/>
  <c r="O113" i="2" s="1"/>
  <c r="M112" i="2"/>
  <c r="N112" i="2" s="1"/>
  <c r="K112" i="2"/>
  <c r="L112" i="2" s="1"/>
  <c r="K114" i="2" l="1"/>
  <c r="M114" i="2"/>
  <c r="O114" i="2" s="1"/>
  <c r="L114" i="2"/>
  <c r="N114" i="2"/>
  <c r="L113" i="2"/>
  <c r="O112" i="2"/>
  <c r="E117" i="2"/>
  <c r="F116" i="2"/>
  <c r="G115" i="2"/>
  <c r="H115" i="2"/>
  <c r="I115" i="2"/>
  <c r="I116" i="2" l="1"/>
  <c r="G116" i="2"/>
  <c r="H116" i="2"/>
  <c r="J115" i="2"/>
  <c r="E118" i="2"/>
  <c r="F117" i="2"/>
  <c r="G117" i="2" l="1"/>
  <c r="H117" i="2"/>
  <c r="I117" i="2"/>
  <c r="F118" i="2"/>
  <c r="E119" i="2"/>
  <c r="M115" i="2"/>
  <c r="N115" i="2" s="1"/>
  <c r="K115" i="2"/>
  <c r="L115" i="2" s="1"/>
  <c r="J116" i="2"/>
  <c r="M116" i="2" l="1"/>
  <c r="K116" i="2"/>
  <c r="L116" i="2"/>
  <c r="N116" i="2"/>
  <c r="O116" i="2"/>
  <c r="O115" i="2"/>
  <c r="E120" i="2"/>
  <c r="F119" i="2"/>
  <c r="H118" i="2"/>
  <c r="G118" i="2"/>
  <c r="I118" i="2"/>
  <c r="J117" i="2"/>
  <c r="K117" i="2" l="1"/>
  <c r="O117" i="2" s="1"/>
  <c r="L117" i="2"/>
  <c r="M117" i="2"/>
  <c r="N117" i="2" s="1"/>
  <c r="J118" i="2"/>
  <c r="G119" i="2"/>
  <c r="I119" i="2"/>
  <c r="H119" i="2"/>
  <c r="E121" i="2"/>
  <c r="F120" i="2"/>
  <c r="F121" i="2" l="1"/>
  <c r="E122" i="2"/>
  <c r="M118" i="2"/>
  <c r="K118" i="2"/>
  <c r="O118" i="2" s="1"/>
  <c r="N118" i="2"/>
  <c r="L118" i="2"/>
  <c r="H120" i="2"/>
  <c r="G120" i="2"/>
  <c r="I120" i="2"/>
  <c r="J119" i="2"/>
  <c r="K119" i="2" l="1"/>
  <c r="O119" i="2" s="1"/>
  <c r="M119" i="2"/>
  <c r="N119" i="2" s="1"/>
  <c r="J120" i="2"/>
  <c r="E123" i="2"/>
  <c r="F122" i="2"/>
  <c r="G121" i="2"/>
  <c r="I121" i="2"/>
  <c r="H121" i="2"/>
  <c r="F123" i="2" l="1"/>
  <c r="E124" i="2"/>
  <c r="L119" i="2"/>
  <c r="J121" i="2"/>
  <c r="G122" i="2"/>
  <c r="I122" i="2"/>
  <c r="H122" i="2"/>
  <c r="M120" i="2"/>
  <c r="N120" i="2" s="1"/>
  <c r="K120" i="2"/>
  <c r="L120" i="2" s="1"/>
  <c r="O120" i="2" l="1"/>
  <c r="E125" i="2"/>
  <c r="F124" i="2"/>
  <c r="J122" i="2"/>
  <c r="M121" i="2"/>
  <c r="K121" i="2"/>
  <c r="O121" i="2" s="1"/>
  <c r="N121" i="2"/>
  <c r="L121" i="2"/>
  <c r="H123" i="2"/>
  <c r="I123" i="2"/>
  <c r="G123" i="2"/>
  <c r="J123" i="2" s="1"/>
  <c r="K123" i="2" l="1"/>
  <c r="L123" i="2" s="1"/>
  <c r="M123" i="2"/>
  <c r="N123" i="2"/>
  <c r="O123" i="2"/>
  <c r="I124" i="2"/>
  <c r="H124" i="2"/>
  <c r="G124" i="2"/>
  <c r="J124" i="2" s="1"/>
  <c r="M122" i="2"/>
  <c r="N122" i="2"/>
  <c r="K122" i="2"/>
  <c r="O122" i="2" s="1"/>
  <c r="F125" i="2"/>
  <c r="E126" i="2"/>
  <c r="M124" i="2" l="1"/>
  <c r="K124" i="2"/>
  <c r="O124" i="2"/>
  <c r="L124" i="2"/>
  <c r="N124" i="2"/>
  <c r="I125" i="2"/>
  <c r="H125" i="2"/>
  <c r="G125" i="2"/>
  <c r="J125" i="2" s="1"/>
  <c r="L122" i="2"/>
  <c r="E127" i="2"/>
  <c r="F126" i="2"/>
  <c r="I126" i="2" l="1"/>
  <c r="G126" i="2"/>
  <c r="H126" i="2"/>
  <c r="K125" i="2"/>
  <c r="O125" i="2" s="1"/>
  <c r="M125" i="2"/>
  <c r="N125" i="2" s="1"/>
  <c r="F127" i="2"/>
  <c r="E128" i="2"/>
  <c r="F128" i="2" l="1"/>
  <c r="E129" i="2"/>
  <c r="G127" i="2"/>
  <c r="H127" i="2"/>
  <c r="I127" i="2"/>
  <c r="L125" i="2"/>
  <c r="J126" i="2"/>
  <c r="K126" i="2" l="1"/>
  <c r="L126" i="2"/>
  <c r="M126" i="2"/>
  <c r="O126" i="2" s="1"/>
  <c r="N126" i="2"/>
  <c r="E130" i="2"/>
  <c r="F129" i="2"/>
  <c r="J127" i="2"/>
  <c r="H128" i="2"/>
  <c r="G128" i="2"/>
  <c r="I128" i="2"/>
  <c r="G129" i="2" l="1"/>
  <c r="H129" i="2"/>
  <c r="I129" i="2"/>
  <c r="J128" i="2"/>
  <c r="M127" i="2"/>
  <c r="N127" i="2" s="1"/>
  <c r="K127" i="2"/>
  <c r="L127" i="2" s="1"/>
  <c r="F130" i="2"/>
  <c r="E131" i="2"/>
  <c r="E132" i="2" l="1"/>
  <c r="F131" i="2"/>
  <c r="O127" i="2"/>
  <c r="I130" i="2"/>
  <c r="G130" i="2"/>
  <c r="J130" i="2" s="1"/>
  <c r="H130" i="2"/>
  <c r="M128" i="2"/>
  <c r="N128" i="2" s="1"/>
  <c r="K128" i="2"/>
  <c r="L128" i="2" s="1"/>
  <c r="J129" i="2"/>
  <c r="K129" i="2" l="1"/>
  <c r="M129" i="2"/>
  <c r="N129" i="2" s="1"/>
  <c r="O129" i="2"/>
  <c r="L129" i="2"/>
  <c r="O128" i="2"/>
  <c r="K130" i="2"/>
  <c r="L130" i="2" s="1"/>
  <c r="M130" i="2"/>
  <c r="N130" i="2" s="1"/>
  <c r="G131" i="2"/>
  <c r="J131" i="2" s="1"/>
  <c r="H131" i="2"/>
  <c r="I131" i="2"/>
  <c r="E133" i="2"/>
  <c r="F132" i="2"/>
  <c r="O130" i="2" l="1"/>
  <c r="F133" i="2"/>
  <c r="E134" i="2"/>
  <c r="M131" i="2"/>
  <c r="N131" i="2" s="1"/>
  <c r="K131" i="2"/>
  <c r="L131" i="2" s="1"/>
  <c r="G132" i="2"/>
  <c r="H132" i="2"/>
  <c r="I132" i="2"/>
  <c r="O131" i="2" l="1"/>
  <c r="E135" i="2"/>
  <c r="F134" i="2"/>
  <c r="J132" i="2"/>
  <c r="G133" i="2"/>
  <c r="H133" i="2"/>
  <c r="I133" i="2"/>
  <c r="J133" i="2" l="1"/>
  <c r="G134" i="2"/>
  <c r="H134" i="2"/>
  <c r="I134" i="2"/>
  <c r="K132" i="2"/>
  <c r="M132" i="2"/>
  <c r="L132" i="2"/>
  <c r="N132" i="2"/>
  <c r="O132" i="2"/>
  <c r="E136" i="2"/>
  <c r="F135" i="2"/>
  <c r="H135" i="2" l="1"/>
  <c r="I135" i="2"/>
  <c r="G135" i="2"/>
  <c r="J135" i="2" s="1"/>
  <c r="J134" i="2"/>
  <c r="F136" i="2"/>
  <c r="E137" i="2"/>
  <c r="K133" i="2"/>
  <c r="L133" i="2"/>
  <c r="M133" i="2"/>
  <c r="O133" i="2" s="1"/>
  <c r="N133" i="2" l="1"/>
  <c r="M134" i="2"/>
  <c r="K134" i="2"/>
  <c r="O134" i="2" s="1"/>
  <c r="L134" i="2"/>
  <c r="N134" i="2"/>
  <c r="F137" i="2"/>
  <c r="E138" i="2"/>
  <c r="I136" i="2"/>
  <c r="H136" i="2"/>
  <c r="G136" i="2"/>
  <c r="J136" i="2" s="1"/>
  <c r="L135" i="2"/>
  <c r="K135" i="2"/>
  <c r="M135" i="2"/>
  <c r="O135" i="2"/>
  <c r="N135" i="2"/>
  <c r="H137" i="2" l="1"/>
  <c r="G137" i="2"/>
  <c r="I137" i="2"/>
  <c r="K136" i="2"/>
  <c r="L136" i="2" s="1"/>
  <c r="M136" i="2"/>
  <c r="N136" i="2" s="1"/>
  <c r="O136" i="2"/>
  <c r="E139" i="2"/>
  <c r="F138" i="2"/>
  <c r="E140" i="2" l="1"/>
  <c r="F139" i="2"/>
  <c r="G138" i="2"/>
  <c r="H138" i="2"/>
  <c r="I138" i="2"/>
  <c r="J137" i="2"/>
  <c r="M137" i="2" l="1"/>
  <c r="N137" i="2" s="1"/>
  <c r="K137" i="2"/>
  <c r="O137" i="2" s="1"/>
  <c r="G139" i="2"/>
  <c r="H139" i="2"/>
  <c r="I139" i="2"/>
  <c r="J138" i="2"/>
  <c r="E141" i="2"/>
  <c r="F140" i="2"/>
  <c r="E142" i="2" l="1"/>
  <c r="F141" i="2"/>
  <c r="G140" i="2"/>
  <c r="I140" i="2"/>
  <c r="H140" i="2"/>
  <c r="K138" i="2"/>
  <c r="L138" i="2" s="1"/>
  <c r="M138" i="2"/>
  <c r="N138" i="2" s="1"/>
  <c r="J139" i="2"/>
  <c r="L137" i="2"/>
  <c r="O138" i="2" l="1"/>
  <c r="I141" i="2"/>
  <c r="G141" i="2"/>
  <c r="H141" i="2"/>
  <c r="K139" i="2"/>
  <c r="O139" i="2" s="1"/>
  <c r="M139" i="2"/>
  <c r="N139" i="2" s="1"/>
  <c r="J140" i="2"/>
  <c r="F142" i="2"/>
  <c r="E143" i="2"/>
  <c r="E144" i="2" l="1"/>
  <c r="F143" i="2"/>
  <c r="M140" i="2"/>
  <c r="K140" i="2"/>
  <c r="L140" i="2" s="1"/>
  <c r="N140" i="2"/>
  <c r="O140" i="2"/>
  <c r="L139" i="2"/>
  <c r="I142" i="2"/>
  <c r="G142" i="2"/>
  <c r="H142" i="2"/>
  <c r="J141" i="2"/>
  <c r="K141" i="2" l="1"/>
  <c r="L141" i="2"/>
  <c r="M141" i="2"/>
  <c r="N141" i="2" s="1"/>
  <c r="O141" i="2"/>
  <c r="J142" i="2"/>
  <c r="I143" i="2"/>
  <c r="G143" i="2"/>
  <c r="H143" i="2"/>
  <c r="E145" i="2"/>
  <c r="F144" i="2"/>
  <c r="F145" i="2" l="1"/>
  <c r="E146" i="2"/>
  <c r="J143" i="2"/>
  <c r="K142" i="2"/>
  <c r="O142" i="2" s="1"/>
  <c r="M142" i="2"/>
  <c r="N142" i="2" s="1"/>
  <c r="L142" i="2"/>
  <c r="G144" i="2"/>
  <c r="H144" i="2"/>
  <c r="I144" i="2"/>
  <c r="F146" i="2" l="1"/>
  <c r="E147" i="2"/>
  <c r="J144" i="2"/>
  <c r="M143" i="2"/>
  <c r="N143" i="2"/>
  <c r="K143" i="2"/>
  <c r="L143" i="2" s="1"/>
  <c r="O143" i="2"/>
  <c r="G145" i="2"/>
  <c r="H145" i="2"/>
  <c r="I145" i="2"/>
  <c r="E148" i="2" l="1"/>
  <c r="F147" i="2"/>
  <c r="J145" i="2"/>
  <c r="M144" i="2"/>
  <c r="N144" i="2" s="1"/>
  <c r="K144" i="2"/>
  <c r="O144" i="2" s="1"/>
  <c r="G146" i="2"/>
  <c r="H146" i="2"/>
  <c r="I146" i="2"/>
  <c r="L144" i="2" l="1"/>
  <c r="J146" i="2"/>
  <c r="M145" i="2"/>
  <c r="K145" i="2"/>
  <c r="L145" i="2"/>
  <c r="O145" i="2"/>
  <c r="N145" i="2"/>
  <c r="H147" i="2"/>
  <c r="I147" i="2"/>
  <c r="G147" i="2"/>
  <c r="J147" i="2" s="1"/>
  <c r="E149" i="2"/>
  <c r="F148" i="2"/>
  <c r="M147" i="2" l="1"/>
  <c r="L147" i="2"/>
  <c r="N147" i="2"/>
  <c r="K147" i="2"/>
  <c r="O147" i="2"/>
  <c r="I148" i="2"/>
  <c r="G148" i="2"/>
  <c r="H148" i="2"/>
  <c r="F149" i="2"/>
  <c r="E150" i="2"/>
  <c r="M146" i="2"/>
  <c r="N146" i="2"/>
  <c r="K146" i="2"/>
  <c r="O146" i="2" s="1"/>
  <c r="L146" i="2"/>
  <c r="E151" i="2" l="1"/>
  <c r="F150" i="2"/>
  <c r="G149" i="2"/>
  <c r="H149" i="2"/>
  <c r="I149" i="2"/>
  <c r="J148" i="2"/>
  <c r="K148" i="2" l="1"/>
  <c r="L148" i="2"/>
  <c r="M148" i="2"/>
  <c r="N148" i="2" s="1"/>
  <c r="H150" i="2"/>
  <c r="G150" i="2"/>
  <c r="I150" i="2"/>
  <c r="J149" i="2"/>
  <c r="E152" i="2"/>
  <c r="F151" i="2"/>
  <c r="F152" i="2" l="1"/>
  <c r="E153" i="2"/>
  <c r="O148" i="2"/>
  <c r="G151" i="2"/>
  <c r="H151" i="2"/>
  <c r="I151" i="2"/>
  <c r="M149" i="2"/>
  <c r="N149" i="2" s="1"/>
  <c r="K149" i="2"/>
  <c r="O149" i="2" s="1"/>
  <c r="L149" i="2"/>
  <c r="J150" i="2"/>
  <c r="K150" i="2" l="1"/>
  <c r="L150" i="2"/>
  <c r="M150" i="2"/>
  <c r="O150" i="2" s="1"/>
  <c r="J151" i="2"/>
  <c r="E154" i="2"/>
  <c r="F153" i="2"/>
  <c r="H152" i="2"/>
  <c r="I152" i="2"/>
  <c r="G152" i="2"/>
  <c r="J152" i="2" s="1"/>
  <c r="M152" i="2" l="1"/>
  <c r="K152" i="2"/>
  <c r="O152" i="2" s="1"/>
  <c r="L152" i="2"/>
  <c r="N152" i="2"/>
  <c r="H153" i="2"/>
  <c r="I153" i="2"/>
  <c r="G153" i="2"/>
  <c r="J153" i="2" s="1"/>
  <c r="F154" i="2"/>
  <c r="E155" i="2"/>
  <c r="K151" i="2"/>
  <c r="O151" i="2" s="1"/>
  <c r="M151" i="2"/>
  <c r="N151" i="2" s="1"/>
  <c r="N150" i="2"/>
  <c r="L151" i="2" l="1"/>
  <c r="M153" i="2"/>
  <c r="N153" i="2" s="1"/>
  <c r="K153" i="2"/>
  <c r="O153" i="2" s="1"/>
  <c r="E156" i="2"/>
  <c r="F155" i="2"/>
  <c r="G154" i="2"/>
  <c r="H154" i="2"/>
  <c r="I154" i="2"/>
  <c r="G155" i="2" l="1"/>
  <c r="H155" i="2"/>
  <c r="I155" i="2"/>
  <c r="L153" i="2"/>
  <c r="J154" i="2"/>
  <c r="F156" i="2"/>
  <c r="E157" i="2"/>
  <c r="M154" i="2" l="1"/>
  <c r="N154" i="2"/>
  <c r="K154" i="2"/>
  <c r="O154" i="2" s="1"/>
  <c r="F157" i="2"/>
  <c r="E158" i="2"/>
  <c r="G156" i="2"/>
  <c r="H156" i="2"/>
  <c r="I156" i="2"/>
  <c r="J155" i="2"/>
  <c r="F158" i="2" l="1"/>
  <c r="E159" i="2"/>
  <c r="L154" i="2"/>
  <c r="K155" i="2"/>
  <c r="L155" i="2" s="1"/>
  <c r="M155" i="2"/>
  <c r="N155" i="2" s="1"/>
  <c r="J156" i="2"/>
  <c r="G157" i="2"/>
  <c r="I157" i="2"/>
  <c r="H157" i="2"/>
  <c r="J157" i="2" l="1"/>
  <c r="E160" i="2"/>
  <c r="F159" i="2"/>
  <c r="N156" i="2"/>
  <c r="M156" i="2"/>
  <c r="K156" i="2"/>
  <c r="O156" i="2"/>
  <c r="L156" i="2"/>
  <c r="O155" i="2"/>
  <c r="G158" i="2"/>
  <c r="H158" i="2"/>
  <c r="I158" i="2"/>
  <c r="J158" i="2" l="1"/>
  <c r="H159" i="2"/>
  <c r="G159" i="2"/>
  <c r="I159" i="2"/>
  <c r="E161" i="2"/>
  <c r="F160" i="2"/>
  <c r="K157" i="2"/>
  <c r="L157" i="2" s="1"/>
  <c r="M157" i="2"/>
  <c r="N157" i="2" s="1"/>
  <c r="O157" i="2" l="1"/>
  <c r="I160" i="2"/>
  <c r="H160" i="2"/>
  <c r="G160" i="2"/>
  <c r="E162" i="2"/>
  <c r="F161" i="2"/>
  <c r="J159" i="2"/>
  <c r="M158" i="2"/>
  <c r="N158" i="2" s="1"/>
  <c r="K158" i="2"/>
  <c r="O158" i="2" s="1"/>
  <c r="L158" i="2" l="1"/>
  <c r="E163" i="2"/>
  <c r="F162" i="2"/>
  <c r="K159" i="2"/>
  <c r="M159" i="2"/>
  <c r="N159" i="2" s="1"/>
  <c r="L159" i="2"/>
  <c r="O159" i="2"/>
  <c r="I161" i="2"/>
  <c r="G161" i="2"/>
  <c r="H161" i="2"/>
  <c r="J160" i="2"/>
  <c r="G162" i="2" l="1"/>
  <c r="H162" i="2"/>
  <c r="I162" i="2"/>
  <c r="M160" i="2"/>
  <c r="K160" i="2"/>
  <c r="O160" i="2"/>
  <c r="L160" i="2"/>
  <c r="N160" i="2"/>
  <c r="J161" i="2"/>
  <c r="E164" i="2"/>
  <c r="F163" i="2"/>
  <c r="E165" i="2" l="1"/>
  <c r="F164" i="2"/>
  <c r="H163" i="2"/>
  <c r="G163" i="2"/>
  <c r="J163" i="2" s="1"/>
  <c r="I163" i="2"/>
  <c r="L161" i="2"/>
  <c r="N161" i="2"/>
  <c r="O161" i="2"/>
  <c r="K161" i="2"/>
  <c r="M161" i="2"/>
  <c r="J162" i="2"/>
  <c r="K163" i="2" l="1"/>
  <c r="L163" i="2" s="1"/>
  <c r="M163" i="2"/>
  <c r="O163" i="2"/>
  <c r="N163" i="2"/>
  <c r="K162" i="2"/>
  <c r="M162" i="2"/>
  <c r="N162" i="2" s="1"/>
  <c r="L162" i="2"/>
  <c r="O162" i="2"/>
  <c r="I164" i="2"/>
  <c r="G164" i="2"/>
  <c r="J164" i="2" s="1"/>
  <c r="H164" i="2"/>
  <c r="E166" i="2"/>
  <c r="F165" i="2"/>
  <c r="M164" i="2" l="1"/>
  <c r="K164" i="2"/>
  <c r="L164" i="2" s="1"/>
  <c r="N164" i="2"/>
  <c r="F166" i="2"/>
  <c r="E167" i="2"/>
  <c r="G165" i="2"/>
  <c r="H165" i="2"/>
  <c r="I165" i="2"/>
  <c r="E168" i="2" l="1"/>
  <c r="F167" i="2"/>
  <c r="J165" i="2"/>
  <c r="I166" i="2"/>
  <c r="G166" i="2"/>
  <c r="H166" i="2"/>
  <c r="O164" i="2"/>
  <c r="K165" i="2" l="1"/>
  <c r="O165" i="2" s="1"/>
  <c r="M165" i="2"/>
  <c r="N165" i="2" s="1"/>
  <c r="J166" i="2"/>
  <c r="G167" i="2"/>
  <c r="H167" i="2"/>
  <c r="I167" i="2"/>
  <c r="E169" i="2"/>
  <c r="F168" i="2"/>
  <c r="F169" i="2" l="1"/>
  <c r="E170" i="2"/>
  <c r="O166" i="2"/>
  <c r="L166" i="2"/>
  <c r="K166" i="2"/>
  <c r="M166" i="2"/>
  <c r="N166" i="2"/>
  <c r="H168" i="2"/>
  <c r="G168" i="2"/>
  <c r="I168" i="2"/>
  <c r="J167" i="2"/>
  <c r="L165" i="2"/>
  <c r="E171" i="2" l="1"/>
  <c r="F170" i="2"/>
  <c r="K167" i="2"/>
  <c r="L167" i="2"/>
  <c r="M167" i="2"/>
  <c r="O167" i="2" s="1"/>
  <c r="J168" i="2"/>
  <c r="G169" i="2"/>
  <c r="H169" i="2"/>
  <c r="I169" i="2"/>
  <c r="M168" i="2" l="1"/>
  <c r="N168" i="2"/>
  <c r="K168" i="2"/>
  <c r="O168" i="2" s="1"/>
  <c r="N167" i="2"/>
  <c r="G170" i="2"/>
  <c r="I170" i="2"/>
  <c r="H170" i="2"/>
  <c r="J169" i="2"/>
  <c r="F171" i="2"/>
  <c r="E172" i="2"/>
  <c r="H171" i="2" l="1"/>
  <c r="I171" i="2"/>
  <c r="G171" i="2"/>
  <c r="J171" i="2" s="1"/>
  <c r="J170" i="2"/>
  <c r="L168" i="2"/>
  <c r="F172" i="2"/>
  <c r="E173" i="2"/>
  <c r="M169" i="2"/>
  <c r="K169" i="2"/>
  <c r="O169" i="2" s="1"/>
  <c r="N169" i="2"/>
  <c r="L169" i="2"/>
  <c r="F173" i="2" l="1"/>
  <c r="E174" i="2"/>
  <c r="M170" i="2"/>
  <c r="N170" i="2" s="1"/>
  <c r="K170" i="2"/>
  <c r="L170" i="2"/>
  <c r="O170" i="2"/>
  <c r="I172" i="2"/>
  <c r="H172" i="2"/>
  <c r="G172" i="2"/>
  <c r="J172" i="2" s="1"/>
  <c r="M171" i="2"/>
  <c r="O171" i="2" s="1"/>
  <c r="N171" i="2"/>
  <c r="K171" i="2"/>
  <c r="L171" i="2" s="1"/>
  <c r="E175" i="2" l="1"/>
  <c r="F174" i="2"/>
  <c r="O172" i="2"/>
  <c r="L172" i="2"/>
  <c r="M172" i="2"/>
  <c r="N172" i="2"/>
  <c r="K172" i="2"/>
  <c r="G173" i="2"/>
  <c r="H173" i="2"/>
  <c r="I173" i="2"/>
  <c r="H174" i="2" l="1"/>
  <c r="I174" i="2"/>
  <c r="G174" i="2"/>
  <c r="J174" i="2" s="1"/>
  <c r="J173" i="2"/>
  <c r="E176" i="2"/>
  <c r="F175" i="2"/>
  <c r="I175" i="2" l="1"/>
  <c r="H175" i="2"/>
  <c r="G175" i="2"/>
  <c r="J175" i="2" s="1"/>
  <c r="K174" i="2"/>
  <c r="M174" i="2"/>
  <c r="L174" i="2"/>
  <c r="N174" i="2"/>
  <c r="O174" i="2"/>
  <c r="F176" i="2"/>
  <c r="E177" i="2"/>
  <c r="K173" i="2"/>
  <c r="L173" i="2" s="1"/>
  <c r="M173" i="2"/>
  <c r="N173" i="2" s="1"/>
  <c r="F177" i="2" l="1"/>
  <c r="E178" i="2"/>
  <c r="O173" i="2"/>
  <c r="H176" i="2"/>
  <c r="G176" i="2"/>
  <c r="I176" i="2"/>
  <c r="L175" i="2"/>
  <c r="O175" i="2"/>
  <c r="M175" i="2"/>
  <c r="K175" i="2"/>
  <c r="N175" i="2"/>
  <c r="J176" i="2" l="1"/>
  <c r="E179" i="2"/>
  <c r="F178" i="2"/>
  <c r="I177" i="2"/>
  <c r="H177" i="2"/>
  <c r="G177" i="2"/>
  <c r="J177" i="2" s="1"/>
  <c r="E180" i="2" l="1"/>
  <c r="F179" i="2"/>
  <c r="K177" i="2"/>
  <c r="O177" i="2" s="1"/>
  <c r="M177" i="2"/>
  <c r="N177" i="2" s="1"/>
  <c r="L177" i="2"/>
  <c r="H178" i="2"/>
  <c r="I178" i="2"/>
  <c r="G178" i="2"/>
  <c r="J178" i="2" s="1"/>
  <c r="M176" i="2"/>
  <c r="N176" i="2" s="1"/>
  <c r="K176" i="2"/>
  <c r="L176" i="2" s="1"/>
  <c r="H179" i="2" l="1"/>
  <c r="G179" i="2"/>
  <c r="I179" i="2"/>
  <c r="M178" i="2"/>
  <c r="N178" i="2" s="1"/>
  <c r="K178" i="2"/>
  <c r="O178" i="2" s="1"/>
  <c r="L178" i="2"/>
  <c r="O176" i="2"/>
  <c r="F180" i="2"/>
  <c r="E181" i="2"/>
  <c r="G180" i="2" l="1"/>
  <c r="H180" i="2"/>
  <c r="I180" i="2"/>
  <c r="F181" i="2"/>
  <c r="E182" i="2"/>
  <c r="J179" i="2"/>
  <c r="E183" i="2" l="1"/>
  <c r="F182" i="2"/>
  <c r="K179" i="2"/>
  <c r="L179" i="2" s="1"/>
  <c r="M179" i="2"/>
  <c r="N179" i="2" s="1"/>
  <c r="G181" i="2"/>
  <c r="H181" i="2"/>
  <c r="I181" i="2"/>
  <c r="J180" i="2"/>
  <c r="J181" i="2" l="1"/>
  <c r="K180" i="2"/>
  <c r="L180" i="2" s="1"/>
  <c r="M180" i="2"/>
  <c r="O180" i="2" s="1"/>
  <c r="O179" i="2"/>
  <c r="G182" i="2"/>
  <c r="I182" i="2"/>
  <c r="H182" i="2"/>
  <c r="E184" i="2"/>
  <c r="F183" i="2"/>
  <c r="F184" i="2" l="1"/>
  <c r="E185" i="2"/>
  <c r="J182" i="2"/>
  <c r="H183" i="2"/>
  <c r="G183" i="2"/>
  <c r="I183" i="2"/>
  <c r="N180" i="2"/>
  <c r="M181" i="2"/>
  <c r="N181" i="2" s="1"/>
  <c r="K181" i="2"/>
  <c r="L181" i="2" s="1"/>
  <c r="M182" i="2" l="1"/>
  <c r="N182" i="2"/>
  <c r="K182" i="2"/>
  <c r="O182" i="2" s="1"/>
  <c r="O181" i="2"/>
  <c r="J183" i="2"/>
  <c r="E186" i="2"/>
  <c r="F185" i="2"/>
  <c r="I184" i="2"/>
  <c r="G184" i="2"/>
  <c r="H184" i="2"/>
  <c r="J184" i="2" l="1"/>
  <c r="I185" i="2"/>
  <c r="H185" i="2"/>
  <c r="G185" i="2"/>
  <c r="J185" i="2" s="1"/>
  <c r="L182" i="2"/>
  <c r="F186" i="2"/>
  <c r="E187" i="2"/>
  <c r="K183" i="2"/>
  <c r="L183" i="2" s="1"/>
  <c r="M183" i="2"/>
  <c r="N183" i="2" s="1"/>
  <c r="O183" i="2"/>
  <c r="H186" i="2" l="1"/>
  <c r="I186" i="2"/>
  <c r="G186" i="2"/>
  <c r="J186" i="2" s="1"/>
  <c r="E188" i="2"/>
  <c r="F187" i="2"/>
  <c r="M185" i="2"/>
  <c r="N185" i="2" s="1"/>
  <c r="K185" i="2"/>
  <c r="O185" i="2" s="1"/>
  <c r="K184" i="2"/>
  <c r="O184" i="2" s="1"/>
  <c r="L184" i="2"/>
  <c r="M184" i="2"/>
  <c r="N184" i="2"/>
  <c r="E189" i="2" l="1"/>
  <c r="F188" i="2"/>
  <c r="L185" i="2"/>
  <c r="H187" i="2"/>
  <c r="I187" i="2"/>
  <c r="G187" i="2"/>
  <c r="J187" i="2" s="1"/>
  <c r="K186" i="2"/>
  <c r="L186" i="2"/>
  <c r="M186" i="2"/>
  <c r="N186" i="2" s="1"/>
  <c r="K187" i="2" l="1"/>
  <c r="L187" i="2" s="1"/>
  <c r="M187" i="2"/>
  <c r="N187" i="2" s="1"/>
  <c r="O186" i="2"/>
  <c r="G188" i="2"/>
  <c r="H188" i="2"/>
  <c r="I188" i="2"/>
  <c r="E190" i="2"/>
  <c r="F189" i="2"/>
  <c r="H189" i="2" l="1"/>
  <c r="G189" i="2"/>
  <c r="I189" i="2"/>
  <c r="F190" i="2"/>
  <c r="E191" i="2"/>
  <c r="J188" i="2"/>
  <c r="O187" i="2"/>
  <c r="G190" i="2" l="1"/>
  <c r="H190" i="2"/>
  <c r="I190" i="2"/>
  <c r="M188" i="2"/>
  <c r="L188" i="2"/>
  <c r="N188" i="2"/>
  <c r="O188" i="2"/>
  <c r="K188" i="2"/>
  <c r="E192" i="2"/>
  <c r="F191" i="2"/>
  <c r="J189" i="2"/>
  <c r="E193" i="2" l="1"/>
  <c r="F192" i="2"/>
  <c r="M189" i="2"/>
  <c r="O189" i="2" s="1"/>
  <c r="K189" i="2"/>
  <c r="L189" i="2" s="1"/>
  <c r="I191" i="2"/>
  <c r="H191" i="2"/>
  <c r="G191" i="2"/>
  <c r="J191" i="2" s="1"/>
  <c r="J190" i="2"/>
  <c r="K190" i="2" l="1"/>
  <c r="O190" i="2" s="1"/>
  <c r="M190" i="2"/>
  <c r="N190" i="2"/>
  <c r="N189" i="2"/>
  <c r="N191" i="2"/>
  <c r="K191" i="2"/>
  <c r="L191" i="2"/>
  <c r="O191" i="2"/>
  <c r="M191" i="2"/>
  <c r="H192" i="2"/>
  <c r="G192" i="2"/>
  <c r="I192" i="2"/>
  <c r="F193" i="2"/>
  <c r="E194" i="2"/>
  <c r="E195" i="2" l="1"/>
  <c r="F194" i="2"/>
  <c r="G193" i="2"/>
  <c r="H193" i="2"/>
  <c r="I193" i="2"/>
  <c r="L190" i="2"/>
  <c r="J192" i="2"/>
  <c r="K192" i="2" l="1"/>
  <c r="M192" i="2"/>
  <c r="O192" i="2" s="1"/>
  <c r="L192" i="2"/>
  <c r="N192" i="2"/>
  <c r="G194" i="2"/>
  <c r="I194" i="2"/>
  <c r="H194" i="2"/>
  <c r="J193" i="2"/>
  <c r="F195" i="2"/>
  <c r="E196" i="2"/>
  <c r="M193" i="2" l="1"/>
  <c r="N193" i="2" s="1"/>
  <c r="K193" i="2"/>
  <c r="O193" i="2" s="1"/>
  <c r="F196" i="2"/>
  <c r="E197" i="2"/>
  <c r="H195" i="2"/>
  <c r="G195" i="2"/>
  <c r="I195" i="2"/>
  <c r="J194" i="2"/>
  <c r="K194" i="2" l="1"/>
  <c r="O194" i="2" s="1"/>
  <c r="L194" i="2"/>
  <c r="M194" i="2"/>
  <c r="N194" i="2" s="1"/>
  <c r="J195" i="2"/>
  <c r="L193" i="2"/>
  <c r="E198" i="2"/>
  <c r="F197" i="2"/>
  <c r="I196" i="2"/>
  <c r="H196" i="2"/>
  <c r="G196" i="2"/>
  <c r="J196" i="2" s="1"/>
  <c r="H197" i="2" l="1"/>
  <c r="G197" i="2"/>
  <c r="I197" i="2"/>
  <c r="M195" i="2"/>
  <c r="N195" i="2" s="1"/>
  <c r="K195" i="2"/>
  <c r="O195" i="2" s="1"/>
  <c r="K196" i="2"/>
  <c r="L196" i="2" s="1"/>
  <c r="M196" i="2"/>
  <c r="N196" i="2" s="1"/>
  <c r="F198" i="2"/>
  <c r="E199" i="2"/>
  <c r="O196" i="2" l="1"/>
  <c r="L195" i="2"/>
  <c r="J197" i="2"/>
  <c r="E200" i="2"/>
  <c r="F199" i="2"/>
  <c r="H198" i="2"/>
  <c r="G198" i="2"/>
  <c r="I198" i="2"/>
  <c r="J198" i="2" l="1"/>
  <c r="K197" i="2"/>
  <c r="O197" i="2" s="1"/>
  <c r="M197" i="2"/>
  <c r="N197" i="2" s="1"/>
  <c r="H199" i="2"/>
  <c r="G199" i="2"/>
  <c r="I199" i="2"/>
  <c r="E201" i="2"/>
  <c r="F200" i="2"/>
  <c r="G200" i="2" l="1"/>
  <c r="H200" i="2"/>
  <c r="I200" i="2"/>
  <c r="F201" i="2"/>
  <c r="E202" i="2"/>
  <c r="J199" i="2"/>
  <c r="L197" i="2"/>
  <c r="K198" i="2"/>
  <c r="M198" i="2"/>
  <c r="N198" i="2" s="1"/>
  <c r="O198" i="2"/>
  <c r="L198" i="2"/>
  <c r="M199" i="2" l="1"/>
  <c r="K199" i="2"/>
  <c r="L199" i="2" s="1"/>
  <c r="N199" i="2"/>
  <c r="F202" i="2"/>
  <c r="E203" i="2"/>
  <c r="H201" i="2"/>
  <c r="I201" i="2"/>
  <c r="G201" i="2"/>
  <c r="J201" i="2" s="1"/>
  <c r="J200" i="2"/>
  <c r="M200" i="2" l="1"/>
  <c r="N200" i="2"/>
  <c r="K200" i="2"/>
  <c r="L200" i="2" s="1"/>
  <c r="E204" i="2"/>
  <c r="F203" i="2"/>
  <c r="K201" i="2"/>
  <c r="L201" i="2" s="1"/>
  <c r="M201" i="2"/>
  <c r="N201" i="2" s="1"/>
  <c r="H202" i="2"/>
  <c r="G202" i="2"/>
  <c r="I202" i="2"/>
  <c r="O199" i="2"/>
  <c r="E205" i="2" l="1"/>
  <c r="F204" i="2"/>
  <c r="J202" i="2"/>
  <c r="O200" i="2"/>
  <c r="O201" i="2"/>
  <c r="H203" i="2"/>
  <c r="I203" i="2"/>
  <c r="G203" i="2"/>
  <c r="J203" i="2" s="1"/>
  <c r="K203" i="2" l="1"/>
  <c r="L203" i="2"/>
  <c r="M203" i="2"/>
  <c r="N203" i="2"/>
  <c r="O203" i="2"/>
  <c r="M202" i="2"/>
  <c r="N202" i="2" s="1"/>
  <c r="K202" i="2"/>
  <c r="O202" i="2" s="1"/>
  <c r="H204" i="2"/>
  <c r="I204" i="2"/>
  <c r="G204" i="2"/>
  <c r="F205" i="2"/>
  <c r="E206" i="2"/>
  <c r="L202" i="2" l="1"/>
  <c r="F206" i="2"/>
  <c r="E207" i="2"/>
  <c r="G205" i="2"/>
  <c r="H205" i="2"/>
  <c r="I205" i="2"/>
  <c r="J204" i="2"/>
  <c r="M204" i="2" l="1"/>
  <c r="N204" i="2" s="1"/>
  <c r="K204" i="2"/>
  <c r="O204" i="2" s="1"/>
  <c r="L204" i="2"/>
  <c r="E208" i="2"/>
  <c r="F207" i="2"/>
  <c r="J205" i="2"/>
  <c r="G206" i="2"/>
  <c r="H206" i="2"/>
  <c r="I206" i="2"/>
  <c r="J206" i="2" l="1"/>
  <c r="M205" i="2"/>
  <c r="N205" i="2"/>
  <c r="K205" i="2"/>
  <c r="L205" i="2" s="1"/>
  <c r="O205" i="2"/>
  <c r="H207" i="2"/>
  <c r="G207" i="2"/>
  <c r="I207" i="2"/>
  <c r="E209" i="2"/>
  <c r="F208" i="2"/>
  <c r="I208" i="2" l="1"/>
  <c r="H208" i="2"/>
  <c r="G208" i="2"/>
  <c r="J208" i="2" s="1"/>
  <c r="E210" i="2"/>
  <c r="F209" i="2"/>
  <c r="J207" i="2"/>
  <c r="M206" i="2"/>
  <c r="N206" i="2" s="1"/>
  <c r="K206" i="2"/>
  <c r="L206" i="2" s="1"/>
  <c r="O206" i="2" l="1"/>
  <c r="K207" i="2"/>
  <c r="L207" i="2" s="1"/>
  <c r="M207" i="2"/>
  <c r="N207" i="2" s="1"/>
  <c r="G209" i="2"/>
  <c r="H209" i="2"/>
  <c r="I209" i="2"/>
  <c r="F210" i="2"/>
  <c r="E211" i="2"/>
  <c r="M208" i="2"/>
  <c r="K208" i="2"/>
  <c r="L208" i="2"/>
  <c r="N208" i="2"/>
  <c r="O208" i="2"/>
  <c r="E212" i="2" l="1"/>
  <c r="F211" i="2"/>
  <c r="I210" i="2"/>
  <c r="G210" i="2"/>
  <c r="H210" i="2"/>
  <c r="J209" i="2"/>
  <c r="O207" i="2"/>
  <c r="H211" i="2" l="1"/>
  <c r="I211" i="2"/>
  <c r="G211" i="2"/>
  <c r="J211" i="2" s="1"/>
  <c r="M209" i="2"/>
  <c r="N209" i="2" s="1"/>
  <c r="K209" i="2"/>
  <c r="O209" i="2" s="1"/>
  <c r="J210" i="2"/>
  <c r="E213" i="2"/>
  <c r="F212" i="2"/>
  <c r="I212" i="2" l="1"/>
  <c r="G212" i="2"/>
  <c r="H212" i="2"/>
  <c r="K211" i="2"/>
  <c r="L211" i="2" s="1"/>
  <c r="M211" i="2"/>
  <c r="O211" i="2" s="1"/>
  <c r="N211" i="2"/>
  <c r="E214" i="2"/>
  <c r="F213" i="2"/>
  <c r="K210" i="2"/>
  <c r="L210" i="2" s="1"/>
  <c r="O210" i="2"/>
  <c r="M210" i="2"/>
  <c r="N210" i="2"/>
  <c r="L209" i="2"/>
  <c r="G213" i="2" l="1"/>
  <c r="H213" i="2"/>
  <c r="I213" i="2"/>
  <c r="E215" i="2"/>
  <c r="F214" i="2"/>
  <c r="J212" i="2"/>
  <c r="M212" i="2" l="1"/>
  <c r="N212" i="2"/>
  <c r="K212" i="2"/>
  <c r="O212" i="2"/>
  <c r="L212" i="2"/>
  <c r="H214" i="2"/>
  <c r="I214" i="2"/>
  <c r="G214" i="2"/>
  <c r="J214" i="2" s="1"/>
  <c r="F215" i="2"/>
  <c r="E216" i="2"/>
  <c r="J213" i="2"/>
  <c r="N213" i="2" l="1"/>
  <c r="O213" i="2"/>
  <c r="K213" i="2"/>
  <c r="L213" i="2"/>
  <c r="M213" i="2"/>
  <c r="E217" i="2"/>
  <c r="F216" i="2"/>
  <c r="G215" i="2"/>
  <c r="H215" i="2"/>
  <c r="I215" i="2"/>
  <c r="N214" i="2"/>
  <c r="O214" i="2"/>
  <c r="M214" i="2"/>
  <c r="K214" i="2"/>
  <c r="L214" i="2"/>
  <c r="J215" i="2" l="1"/>
  <c r="G216" i="2"/>
  <c r="I216" i="2"/>
  <c r="H216" i="2"/>
  <c r="F217" i="2"/>
  <c r="E218" i="2"/>
  <c r="H217" i="2" l="1"/>
  <c r="G217" i="2"/>
  <c r="J217" i="2" s="1"/>
  <c r="I217" i="2"/>
  <c r="F218" i="2"/>
  <c r="E219" i="2"/>
  <c r="J216" i="2"/>
  <c r="K215" i="2"/>
  <c r="L215" i="2" s="1"/>
  <c r="M215" i="2"/>
  <c r="N215" i="2" s="1"/>
  <c r="O215" i="2" l="1"/>
  <c r="M216" i="2"/>
  <c r="N216" i="2" s="1"/>
  <c r="K216" i="2"/>
  <c r="L216" i="2" s="1"/>
  <c r="K217" i="2"/>
  <c r="L217" i="2"/>
  <c r="M217" i="2"/>
  <c r="N217" i="2" s="1"/>
  <c r="E220" i="2"/>
  <c r="F219" i="2"/>
  <c r="I218" i="2"/>
  <c r="G218" i="2"/>
  <c r="H218" i="2"/>
  <c r="E221" i="2" l="1"/>
  <c r="F220" i="2"/>
  <c r="J218" i="2"/>
  <c r="O216" i="2"/>
  <c r="O217" i="2"/>
  <c r="I219" i="2"/>
  <c r="G219" i="2"/>
  <c r="J219" i="2" s="1"/>
  <c r="H219" i="2"/>
  <c r="K219" i="2" l="1"/>
  <c r="O219" i="2" s="1"/>
  <c r="M219" i="2"/>
  <c r="N219" i="2" s="1"/>
  <c r="M218" i="2"/>
  <c r="N218" i="2"/>
  <c r="K218" i="2"/>
  <c r="O218" i="2" s="1"/>
  <c r="L218" i="2"/>
  <c r="H220" i="2"/>
  <c r="G220" i="2"/>
  <c r="J220" i="2" s="1"/>
  <c r="I220" i="2"/>
  <c r="F221" i="2"/>
  <c r="E222" i="2"/>
  <c r="K220" i="2" l="1"/>
  <c r="L220" i="2" s="1"/>
  <c r="M220" i="2"/>
  <c r="N220" i="2" s="1"/>
  <c r="L219" i="2"/>
  <c r="F222" i="2"/>
  <c r="E223" i="2"/>
  <c r="I221" i="2"/>
  <c r="G221" i="2"/>
  <c r="H221" i="2"/>
  <c r="F223" i="2" l="1"/>
  <c r="E224" i="2"/>
  <c r="H222" i="2"/>
  <c r="G222" i="2"/>
  <c r="I222" i="2"/>
  <c r="O220" i="2"/>
  <c r="J221" i="2"/>
  <c r="J222" i="2" l="1"/>
  <c r="L221" i="2"/>
  <c r="K221" i="2"/>
  <c r="M221" i="2"/>
  <c r="N221" i="2"/>
  <c r="O221" i="2"/>
  <c r="E225" i="2"/>
  <c r="F224" i="2"/>
  <c r="H223" i="2"/>
  <c r="I223" i="2"/>
  <c r="G223" i="2"/>
  <c r="J223" i="2" l="1"/>
  <c r="I224" i="2"/>
  <c r="G224" i="2"/>
  <c r="H224" i="2"/>
  <c r="E226" i="2"/>
  <c r="F225" i="2"/>
  <c r="M222" i="2"/>
  <c r="K222" i="2"/>
  <c r="L222" i="2" s="1"/>
  <c r="N222" i="2"/>
  <c r="O222" i="2" l="1"/>
  <c r="I225" i="2"/>
  <c r="G225" i="2"/>
  <c r="H225" i="2"/>
  <c r="E227" i="2"/>
  <c r="F226" i="2"/>
  <c r="J224" i="2"/>
  <c r="K223" i="2"/>
  <c r="L223" i="2" s="1"/>
  <c r="M223" i="2"/>
  <c r="N223" i="2" s="1"/>
  <c r="K224" i="2" l="1"/>
  <c r="O224" i="2" s="1"/>
  <c r="M224" i="2"/>
  <c r="N224" i="2"/>
  <c r="F227" i="2"/>
  <c r="E228" i="2"/>
  <c r="J225" i="2"/>
  <c r="O223" i="2"/>
  <c r="G226" i="2"/>
  <c r="H226" i="2"/>
  <c r="I226" i="2"/>
  <c r="K225" i="2" l="1"/>
  <c r="O225" i="2" s="1"/>
  <c r="M225" i="2"/>
  <c r="N225" i="2" s="1"/>
  <c r="H227" i="2"/>
  <c r="I227" i="2"/>
  <c r="G227" i="2"/>
  <c r="J227" i="2" s="1"/>
  <c r="L224" i="2"/>
  <c r="J226" i="2"/>
  <c r="F228" i="2"/>
  <c r="E229" i="2"/>
  <c r="F229" i="2" l="1"/>
  <c r="E230" i="2"/>
  <c r="G228" i="2"/>
  <c r="H228" i="2"/>
  <c r="I228" i="2"/>
  <c r="K226" i="2"/>
  <c r="L226" i="2" s="1"/>
  <c r="M226" i="2"/>
  <c r="N226" i="2" s="1"/>
  <c r="L225" i="2"/>
  <c r="L227" i="2"/>
  <c r="M227" i="2"/>
  <c r="N227" i="2" s="1"/>
  <c r="K227" i="2"/>
  <c r="O227" i="2" s="1"/>
  <c r="O226" i="2" l="1"/>
  <c r="J228" i="2"/>
  <c r="F230" i="2"/>
  <c r="E231" i="2"/>
  <c r="H229" i="2"/>
  <c r="G229" i="2"/>
  <c r="I229" i="2"/>
  <c r="F231" i="2" l="1"/>
  <c r="E232" i="2"/>
  <c r="K228" i="2"/>
  <c r="L228" i="2" s="1"/>
  <c r="M228" i="2"/>
  <c r="N228" i="2" s="1"/>
  <c r="O228" i="2"/>
  <c r="J229" i="2"/>
  <c r="I230" i="2"/>
  <c r="G230" i="2"/>
  <c r="J230" i="2" s="1"/>
  <c r="H230" i="2"/>
  <c r="M230" i="2" l="1"/>
  <c r="N230" i="2"/>
  <c r="K230" i="2"/>
  <c r="L230" i="2" s="1"/>
  <c r="M229" i="2"/>
  <c r="N229" i="2" s="1"/>
  <c r="K229" i="2"/>
  <c r="O229" i="2" s="1"/>
  <c r="L229" i="2"/>
  <c r="E233" i="2"/>
  <c r="F232" i="2"/>
  <c r="G231" i="2"/>
  <c r="I231" i="2"/>
  <c r="H231" i="2"/>
  <c r="E234" i="2" l="1"/>
  <c r="F233" i="2"/>
  <c r="I232" i="2"/>
  <c r="G232" i="2"/>
  <c r="H232" i="2"/>
  <c r="O230" i="2"/>
  <c r="J231" i="2"/>
  <c r="M231" i="2" l="1"/>
  <c r="N231" i="2" s="1"/>
  <c r="K231" i="2"/>
  <c r="O231" i="2" s="1"/>
  <c r="H233" i="2"/>
  <c r="G233" i="2"/>
  <c r="I233" i="2"/>
  <c r="J232" i="2"/>
  <c r="E235" i="2"/>
  <c r="F234" i="2"/>
  <c r="G234" i="2" l="1"/>
  <c r="H234" i="2"/>
  <c r="I234" i="2"/>
  <c r="F235" i="2"/>
  <c r="E236" i="2"/>
  <c r="L231" i="2"/>
  <c r="K232" i="2"/>
  <c r="O232" i="2" s="1"/>
  <c r="M232" i="2"/>
  <c r="N232" i="2" s="1"/>
  <c r="J233" i="2"/>
  <c r="L232" i="2" l="1"/>
  <c r="I235" i="2"/>
  <c r="G235" i="2"/>
  <c r="H235" i="2"/>
  <c r="M233" i="2"/>
  <c r="N233" i="2" s="1"/>
  <c r="K233" i="2"/>
  <c r="L233" i="2" s="1"/>
  <c r="E237" i="2"/>
  <c r="F236" i="2"/>
  <c r="J234" i="2"/>
  <c r="M234" i="2" l="1"/>
  <c r="N234" i="2" s="1"/>
  <c r="K234" i="2"/>
  <c r="L234" i="2" s="1"/>
  <c r="E238" i="2"/>
  <c r="F237" i="2"/>
  <c r="H236" i="2"/>
  <c r="I236" i="2"/>
  <c r="G236" i="2"/>
  <c r="J236" i="2" s="1"/>
  <c r="O233" i="2"/>
  <c r="J235" i="2"/>
  <c r="K235" i="2" l="1"/>
  <c r="L235" i="2"/>
  <c r="M235" i="2"/>
  <c r="N235" i="2" s="1"/>
  <c r="O235" i="2"/>
  <c r="K236" i="2"/>
  <c r="L236" i="2" s="1"/>
  <c r="M236" i="2"/>
  <c r="N236" i="2" s="1"/>
  <c r="I237" i="2"/>
  <c r="G237" i="2"/>
  <c r="J237" i="2" s="1"/>
  <c r="H237" i="2"/>
  <c r="O234" i="2"/>
  <c r="E239" i="2"/>
  <c r="F238" i="2"/>
  <c r="O236" i="2" l="1"/>
  <c r="I238" i="2"/>
  <c r="H238" i="2"/>
  <c r="G238" i="2"/>
  <c r="F239" i="2"/>
  <c r="E240" i="2"/>
  <c r="M237" i="2"/>
  <c r="K237" i="2"/>
  <c r="O237" i="2" s="1"/>
  <c r="N237" i="2"/>
  <c r="L237" i="2" l="1"/>
  <c r="F240" i="2"/>
  <c r="E241" i="2"/>
  <c r="J238" i="2"/>
  <c r="I239" i="2"/>
  <c r="G239" i="2"/>
  <c r="H239" i="2"/>
  <c r="F241" i="2" l="1"/>
  <c r="E242" i="2"/>
  <c r="J239" i="2"/>
  <c r="K238" i="2"/>
  <c r="O238" i="2" s="1"/>
  <c r="M238" i="2"/>
  <c r="N238" i="2" s="1"/>
  <c r="L238" i="2"/>
  <c r="G240" i="2"/>
  <c r="H240" i="2"/>
  <c r="I240" i="2"/>
  <c r="E243" i="2" l="1"/>
  <c r="F242" i="2"/>
  <c r="J240" i="2"/>
  <c r="K239" i="2"/>
  <c r="L239" i="2" s="1"/>
  <c r="M239" i="2"/>
  <c r="N239" i="2" s="1"/>
  <c r="H241" i="2"/>
  <c r="I241" i="2"/>
  <c r="G241" i="2"/>
  <c r="J241" i="2" l="1"/>
  <c r="O239" i="2"/>
  <c r="I242" i="2"/>
  <c r="H242" i="2"/>
  <c r="G242" i="2"/>
  <c r="J242" i="2" s="1"/>
  <c r="K240" i="2"/>
  <c r="L240" i="2"/>
  <c r="M240" i="2"/>
  <c r="N240" i="2" s="1"/>
  <c r="F243" i="2"/>
  <c r="E244" i="2"/>
  <c r="F244" i="2" l="1"/>
  <c r="E245" i="2"/>
  <c r="G243" i="2"/>
  <c r="H243" i="2"/>
  <c r="I243" i="2"/>
  <c r="O240" i="2"/>
  <c r="K242" i="2"/>
  <c r="O242" i="2" s="1"/>
  <c r="L242" i="2"/>
  <c r="M242" i="2"/>
  <c r="N242" i="2" s="1"/>
  <c r="K241" i="2"/>
  <c r="L241" i="2" s="1"/>
  <c r="M241" i="2"/>
  <c r="N241" i="2" s="1"/>
  <c r="O241" i="2" l="1"/>
  <c r="F245" i="2"/>
  <c r="E246" i="2"/>
  <c r="J243" i="2"/>
  <c r="G244" i="2"/>
  <c r="H244" i="2"/>
  <c r="I244" i="2"/>
  <c r="M243" i="2" l="1"/>
  <c r="K243" i="2"/>
  <c r="L243" i="2" s="1"/>
  <c r="N243" i="2"/>
  <c r="O243" i="2"/>
  <c r="I245" i="2"/>
  <c r="G245" i="2"/>
  <c r="H245" i="2"/>
  <c r="J244" i="2"/>
  <c r="F246" i="2"/>
  <c r="E247" i="2"/>
  <c r="E248" i="2" l="1"/>
  <c r="F247" i="2"/>
  <c r="H246" i="2"/>
  <c r="I246" i="2"/>
  <c r="G246" i="2"/>
  <c r="J246" i="2" s="1"/>
  <c r="K244" i="2"/>
  <c r="O244" i="2" s="1"/>
  <c r="M244" i="2"/>
  <c r="N244" i="2" s="1"/>
  <c r="L244" i="2"/>
  <c r="J245" i="2"/>
  <c r="M246" i="2" l="1"/>
  <c r="N246" i="2"/>
  <c r="K246" i="2"/>
  <c r="L246" i="2" s="1"/>
  <c r="H247" i="2"/>
  <c r="I247" i="2"/>
  <c r="G247" i="2"/>
  <c r="J247" i="2" s="1"/>
  <c r="K245" i="2"/>
  <c r="O245" i="2" s="1"/>
  <c r="N245" i="2"/>
  <c r="M245" i="2"/>
  <c r="F248" i="2"/>
  <c r="E249" i="2"/>
  <c r="N247" i="2" l="1"/>
  <c r="M247" i="2"/>
  <c r="O247" i="2"/>
  <c r="L247" i="2"/>
  <c r="K247" i="2"/>
  <c r="L245" i="2"/>
  <c r="O246" i="2"/>
  <c r="I248" i="2"/>
  <c r="G248" i="2"/>
  <c r="J248" i="2" s="1"/>
  <c r="H248" i="2"/>
  <c r="E250" i="2"/>
  <c r="F249" i="2"/>
  <c r="H249" i="2" l="1"/>
  <c r="I249" i="2"/>
  <c r="G249" i="2"/>
  <c r="J249" i="2" s="1"/>
  <c r="M248" i="2"/>
  <c r="N248" i="2" s="1"/>
  <c r="K248" i="2"/>
  <c r="O248" i="2" s="1"/>
  <c r="E251" i="2"/>
  <c r="F250" i="2"/>
  <c r="I250" i="2" l="1"/>
  <c r="G250" i="2"/>
  <c r="H250" i="2"/>
  <c r="L249" i="2"/>
  <c r="K249" i="2"/>
  <c r="M249" i="2"/>
  <c r="N249" i="2"/>
  <c r="O249" i="2"/>
  <c r="F251" i="2"/>
  <c r="E252" i="2"/>
  <c r="L248" i="2"/>
  <c r="E253" i="2" l="1"/>
  <c r="F252" i="2"/>
  <c r="J250" i="2"/>
  <c r="G251" i="2"/>
  <c r="H251" i="2"/>
  <c r="I251" i="2"/>
  <c r="J251" i="2" l="1"/>
  <c r="G252" i="2"/>
  <c r="I252" i="2"/>
  <c r="H252" i="2"/>
  <c r="K250" i="2"/>
  <c r="L250" i="2" s="1"/>
  <c r="M250" i="2"/>
  <c r="N250" i="2" s="1"/>
  <c r="F253" i="2"/>
  <c r="E254" i="2"/>
  <c r="O250" i="2" l="1"/>
  <c r="F254" i="2"/>
  <c r="E255" i="2"/>
  <c r="J252" i="2"/>
  <c r="H253" i="2"/>
  <c r="G253" i="2"/>
  <c r="J253" i="2" s="1"/>
  <c r="I253" i="2"/>
  <c r="K251" i="2"/>
  <c r="O251" i="2" s="1"/>
  <c r="M251" i="2"/>
  <c r="N251" i="2" s="1"/>
  <c r="K253" i="2" l="1"/>
  <c r="L253" i="2"/>
  <c r="M253" i="2"/>
  <c r="N253" i="2" s="1"/>
  <c r="E256" i="2"/>
  <c r="F255" i="2"/>
  <c r="I254" i="2"/>
  <c r="G254" i="2"/>
  <c r="H254" i="2"/>
  <c r="L251" i="2"/>
  <c r="K252" i="2"/>
  <c r="L252" i="2" s="1"/>
  <c r="M252" i="2"/>
  <c r="N252" i="2"/>
  <c r="G255" i="2" l="1"/>
  <c r="I255" i="2"/>
  <c r="H255" i="2"/>
  <c r="O252" i="2"/>
  <c r="J254" i="2"/>
  <c r="E257" i="2"/>
  <c r="F256" i="2"/>
  <c r="O253" i="2"/>
  <c r="K254" i="2" l="1"/>
  <c r="L254" i="2" s="1"/>
  <c r="M254" i="2"/>
  <c r="N254" i="2"/>
  <c r="O254" i="2"/>
  <c r="G256" i="2"/>
  <c r="H256" i="2"/>
  <c r="I256" i="2"/>
  <c r="E258" i="2"/>
  <c r="F257" i="2"/>
  <c r="J255" i="2"/>
  <c r="K255" i="2" l="1"/>
  <c r="L255" i="2" s="1"/>
  <c r="M255" i="2"/>
  <c r="N255" i="2" s="1"/>
  <c r="G257" i="2"/>
  <c r="H257" i="2"/>
  <c r="I257" i="2"/>
  <c r="F258" i="2"/>
  <c r="E259" i="2"/>
  <c r="J256" i="2"/>
  <c r="K256" i="2" l="1"/>
  <c r="O256" i="2" s="1"/>
  <c r="M256" i="2"/>
  <c r="N256" i="2" s="1"/>
  <c r="L256" i="2"/>
  <c r="E260" i="2"/>
  <c r="F259" i="2"/>
  <c r="I258" i="2"/>
  <c r="G258" i="2"/>
  <c r="H258" i="2"/>
  <c r="J257" i="2"/>
  <c r="O255" i="2"/>
  <c r="M257" i="2" l="1"/>
  <c r="K257" i="2"/>
  <c r="L257" i="2" s="1"/>
  <c r="N257" i="2"/>
  <c r="J258" i="2"/>
  <c r="G259" i="2"/>
  <c r="H259" i="2"/>
  <c r="I259" i="2"/>
  <c r="E261" i="2"/>
  <c r="F260" i="2"/>
  <c r="E262" i="2" l="1"/>
  <c r="F261" i="2"/>
  <c r="M258" i="2"/>
  <c r="N258" i="2" s="1"/>
  <c r="K258" i="2"/>
  <c r="L258" i="2" s="1"/>
  <c r="O257" i="2"/>
  <c r="I260" i="2"/>
  <c r="H260" i="2"/>
  <c r="G260" i="2"/>
  <c r="J260" i="2" s="1"/>
  <c r="J259" i="2"/>
  <c r="M259" i="2" l="1"/>
  <c r="N259" i="2" s="1"/>
  <c r="K259" i="2"/>
  <c r="L259" i="2" s="1"/>
  <c r="K260" i="2"/>
  <c r="L260" i="2" s="1"/>
  <c r="M260" i="2"/>
  <c r="N260" i="2" s="1"/>
  <c r="O258" i="2"/>
  <c r="G261" i="2"/>
  <c r="J261" i="2" s="1"/>
  <c r="H261" i="2"/>
  <c r="I261" i="2"/>
  <c r="F262" i="2"/>
  <c r="E263" i="2"/>
  <c r="K261" i="2" l="1"/>
  <c r="O261" i="2" s="1"/>
  <c r="M261" i="2"/>
  <c r="N261" i="2" s="1"/>
  <c r="O260" i="2"/>
  <c r="F263" i="2"/>
  <c r="E264" i="2"/>
  <c r="O259" i="2"/>
  <c r="H262" i="2"/>
  <c r="I262" i="2"/>
  <c r="G262" i="2"/>
  <c r="E265" i="2" l="1"/>
  <c r="F264" i="2"/>
  <c r="L261" i="2"/>
  <c r="J262" i="2"/>
  <c r="I263" i="2"/>
  <c r="G263" i="2"/>
  <c r="H263" i="2"/>
  <c r="M262" i="2" l="1"/>
  <c r="N262" i="2"/>
  <c r="O262" i="2"/>
  <c r="K262" i="2"/>
  <c r="L262" i="2"/>
  <c r="G264" i="2"/>
  <c r="H264" i="2"/>
  <c r="I264" i="2"/>
  <c r="J263" i="2"/>
  <c r="F265" i="2"/>
  <c r="E266" i="2"/>
  <c r="H265" i="2" l="1"/>
  <c r="G265" i="2"/>
  <c r="I265" i="2"/>
  <c r="F266" i="2"/>
  <c r="E267" i="2"/>
  <c r="K263" i="2"/>
  <c r="O263" i="2" s="1"/>
  <c r="L263" i="2"/>
  <c r="M263" i="2"/>
  <c r="N263" i="2"/>
  <c r="J264" i="2"/>
  <c r="E268" i="2" l="1"/>
  <c r="F267" i="2"/>
  <c r="M264" i="2"/>
  <c r="N264" i="2" s="1"/>
  <c r="K264" i="2"/>
  <c r="L264" i="2" s="1"/>
  <c r="I266" i="2"/>
  <c r="H266" i="2"/>
  <c r="G266" i="2"/>
  <c r="J266" i="2" s="1"/>
  <c r="J265" i="2"/>
  <c r="L266" i="2" l="1"/>
  <c r="M266" i="2"/>
  <c r="N266" i="2" s="1"/>
  <c r="K266" i="2"/>
  <c r="O266" i="2" s="1"/>
  <c r="F268" i="2"/>
  <c r="E269" i="2"/>
  <c r="O264" i="2"/>
  <c r="I267" i="2"/>
  <c r="G267" i="2"/>
  <c r="H267" i="2"/>
  <c r="K265" i="2"/>
  <c r="O265" i="2" s="1"/>
  <c r="M265" i="2"/>
  <c r="N265" i="2" s="1"/>
  <c r="L265" i="2"/>
  <c r="H268" i="2" l="1"/>
  <c r="G268" i="2"/>
  <c r="J268" i="2" s="1"/>
  <c r="I268" i="2"/>
  <c r="J267" i="2"/>
  <c r="F269" i="2"/>
  <c r="E270" i="2"/>
  <c r="E271" i="2" l="1"/>
  <c r="F270" i="2"/>
  <c r="K267" i="2"/>
  <c r="L267" i="2" s="1"/>
  <c r="M267" i="2"/>
  <c r="O267" i="2" s="1"/>
  <c r="K268" i="2"/>
  <c r="O268" i="2" s="1"/>
  <c r="M268" i="2"/>
  <c r="L268" i="2"/>
  <c r="N268" i="2"/>
  <c r="H269" i="2"/>
  <c r="I269" i="2"/>
  <c r="G269" i="2"/>
  <c r="F271" i="2" l="1"/>
  <c r="E272" i="2"/>
  <c r="N267" i="2"/>
  <c r="I270" i="2"/>
  <c r="G270" i="2"/>
  <c r="H270" i="2"/>
  <c r="J269" i="2"/>
  <c r="E273" i="2" l="1"/>
  <c r="F272" i="2"/>
  <c r="M269" i="2"/>
  <c r="N269" i="2" s="1"/>
  <c r="K269" i="2"/>
  <c r="L269" i="2" s="1"/>
  <c r="H271" i="2"/>
  <c r="G271" i="2"/>
  <c r="I271" i="2"/>
  <c r="J270" i="2"/>
  <c r="F273" i="2" l="1"/>
  <c r="E274" i="2"/>
  <c r="J271" i="2"/>
  <c r="O269" i="2"/>
  <c r="M270" i="2"/>
  <c r="K270" i="2"/>
  <c r="L270" i="2" s="1"/>
  <c r="N270" i="2"/>
  <c r="O270" i="2"/>
  <c r="H272" i="2"/>
  <c r="I272" i="2"/>
  <c r="G272" i="2"/>
  <c r="H273" i="2" l="1"/>
  <c r="I273" i="2"/>
  <c r="G273" i="2"/>
  <c r="F274" i="2"/>
  <c r="E275" i="2"/>
  <c r="K271" i="2"/>
  <c r="L271" i="2" s="1"/>
  <c r="M271" i="2"/>
  <c r="N271" i="2" s="1"/>
  <c r="O271" i="2" l="1"/>
  <c r="G274" i="2"/>
  <c r="J274" i="2" s="1"/>
  <c r="H274" i="2"/>
  <c r="I274" i="2"/>
  <c r="E276" i="2"/>
  <c r="F275" i="2"/>
  <c r="J273" i="2"/>
  <c r="M274" i="2" l="1"/>
  <c r="K274" i="2"/>
  <c r="L274" i="2"/>
  <c r="N274" i="2"/>
  <c r="O274" i="2"/>
  <c r="K273" i="2"/>
  <c r="M273" i="2"/>
  <c r="N273" i="2"/>
  <c r="O273" i="2"/>
  <c r="L273" i="2"/>
  <c r="F276" i="2"/>
  <c r="E277" i="2"/>
  <c r="G275" i="2"/>
  <c r="H275" i="2"/>
  <c r="I275" i="2"/>
  <c r="H276" i="2" l="1"/>
  <c r="G276" i="2"/>
  <c r="J276" i="2" s="1"/>
  <c r="I276" i="2"/>
  <c r="J275" i="2"/>
  <c r="F277" i="2"/>
  <c r="E278" i="2"/>
  <c r="E279" i="2" l="1"/>
  <c r="F278" i="2"/>
  <c r="K275" i="2"/>
  <c r="O275" i="2" s="1"/>
  <c r="M275" i="2"/>
  <c r="N275" i="2" s="1"/>
  <c r="M276" i="2"/>
  <c r="N276" i="2"/>
  <c r="K276" i="2"/>
  <c r="L276" i="2" s="1"/>
  <c r="I277" i="2"/>
  <c r="G277" i="2"/>
  <c r="J277" i="2" s="1"/>
  <c r="H277" i="2"/>
  <c r="H278" i="2" l="1"/>
  <c r="G278" i="2"/>
  <c r="J278" i="2" s="1"/>
  <c r="I278" i="2"/>
  <c r="O276" i="2"/>
  <c r="M277" i="2"/>
  <c r="N277" i="2" s="1"/>
  <c r="K277" i="2"/>
  <c r="L277" i="2" s="1"/>
  <c r="E280" i="2"/>
  <c r="F279" i="2"/>
  <c r="L275" i="2"/>
  <c r="G279" i="2" l="1"/>
  <c r="H279" i="2"/>
  <c r="I279" i="2"/>
  <c r="K278" i="2"/>
  <c r="L278" i="2" s="1"/>
  <c r="M278" i="2"/>
  <c r="O278" i="2" s="1"/>
  <c r="N278" i="2"/>
  <c r="O277" i="2"/>
  <c r="F280" i="2"/>
  <c r="E281" i="2"/>
  <c r="F281" i="2" l="1"/>
  <c r="E282" i="2"/>
  <c r="G280" i="2"/>
  <c r="I280" i="2"/>
  <c r="H280" i="2"/>
  <c r="J279" i="2"/>
  <c r="G281" i="2" l="1"/>
  <c r="J281" i="2" s="1"/>
  <c r="H281" i="2"/>
  <c r="I281" i="2"/>
  <c r="E283" i="2"/>
  <c r="F282" i="2"/>
  <c r="K279" i="2"/>
  <c r="O279" i="2" s="1"/>
  <c r="M279" i="2"/>
  <c r="N279" i="2" s="1"/>
  <c r="J280" i="2"/>
  <c r="L279" i="2" l="1"/>
  <c r="L280" i="2"/>
  <c r="M280" i="2"/>
  <c r="N280" i="2" s="1"/>
  <c r="K280" i="2"/>
  <c r="O280" i="2" s="1"/>
  <c r="F283" i="2"/>
  <c r="E284" i="2"/>
  <c r="I282" i="2"/>
  <c r="H282" i="2"/>
  <c r="G282" i="2"/>
  <c r="J282" i="2" s="1"/>
  <c r="M281" i="2"/>
  <c r="O281" i="2" s="1"/>
  <c r="L281" i="2"/>
  <c r="K281" i="2"/>
  <c r="M282" i="2" l="1"/>
  <c r="N282" i="2" s="1"/>
  <c r="K282" i="2"/>
  <c r="O282" i="2" s="1"/>
  <c r="E285" i="2"/>
  <c r="F284" i="2"/>
  <c r="N281" i="2"/>
  <c r="G283" i="2"/>
  <c r="H283" i="2"/>
  <c r="I283" i="2"/>
  <c r="H284" i="2" l="1"/>
  <c r="I284" i="2"/>
  <c r="G284" i="2"/>
  <c r="F285" i="2"/>
  <c r="E286" i="2"/>
  <c r="L282" i="2"/>
  <c r="J283" i="2"/>
  <c r="O283" i="2" l="1"/>
  <c r="L283" i="2"/>
  <c r="M283" i="2"/>
  <c r="K283" i="2"/>
  <c r="N283" i="2"/>
  <c r="G285" i="2"/>
  <c r="H285" i="2"/>
  <c r="I285" i="2"/>
  <c r="F286" i="2"/>
  <c r="E287" i="2"/>
  <c r="J284" i="2"/>
  <c r="H286" i="2" l="1"/>
  <c r="I286" i="2"/>
  <c r="G286" i="2"/>
  <c r="E288" i="2"/>
  <c r="F287" i="2"/>
  <c r="J285" i="2"/>
  <c r="K284" i="2"/>
  <c r="O284" i="2" s="1"/>
  <c r="M284" i="2"/>
  <c r="N284" i="2" s="1"/>
  <c r="L284" i="2"/>
  <c r="K285" i="2" l="1"/>
  <c r="O285" i="2" s="1"/>
  <c r="N285" i="2"/>
  <c r="M285" i="2"/>
  <c r="E289" i="2"/>
  <c r="F288" i="2"/>
  <c r="G287" i="2"/>
  <c r="I287" i="2"/>
  <c r="H287" i="2"/>
  <c r="J286" i="2"/>
  <c r="L286" i="2" l="1"/>
  <c r="M286" i="2"/>
  <c r="N286" i="2" s="1"/>
  <c r="K286" i="2"/>
  <c r="O286" i="2" s="1"/>
  <c r="F289" i="2"/>
  <c r="E290" i="2"/>
  <c r="L285" i="2"/>
  <c r="J287" i="2"/>
  <c r="H288" i="2"/>
  <c r="G288" i="2"/>
  <c r="I288" i="2"/>
  <c r="N287" i="2" l="1"/>
  <c r="K287" i="2"/>
  <c r="L287" i="2" s="1"/>
  <c r="M287" i="2"/>
  <c r="J288" i="2"/>
  <c r="F290" i="2"/>
  <c r="E291" i="2"/>
  <c r="I289" i="2"/>
  <c r="H289" i="2"/>
  <c r="G289" i="2"/>
  <c r="J289" i="2" s="1"/>
  <c r="K289" i="2" l="1"/>
  <c r="O289" i="2" s="1"/>
  <c r="M289" i="2"/>
  <c r="N289" i="2" s="1"/>
  <c r="G290" i="2"/>
  <c r="H290" i="2"/>
  <c r="I290" i="2"/>
  <c r="F291" i="2"/>
  <c r="E292" i="2"/>
  <c r="K288" i="2"/>
  <c r="L288" i="2" s="1"/>
  <c r="M288" i="2"/>
  <c r="N288" i="2" s="1"/>
  <c r="O287" i="2"/>
  <c r="L289" i="2" l="1"/>
  <c r="E293" i="2"/>
  <c r="F292" i="2"/>
  <c r="O288" i="2"/>
  <c r="I291" i="2"/>
  <c r="G291" i="2"/>
  <c r="H291" i="2"/>
  <c r="J290" i="2"/>
  <c r="E294" i="2" l="1"/>
  <c r="F293" i="2"/>
  <c r="K290" i="2"/>
  <c r="L290" i="2" s="1"/>
  <c r="M290" i="2"/>
  <c r="N290" i="2" s="1"/>
  <c r="J291" i="2"/>
  <c r="H292" i="2"/>
  <c r="I292" i="2"/>
  <c r="G292" i="2"/>
  <c r="J292" i="2" s="1"/>
  <c r="K292" i="2" l="1"/>
  <c r="O292" i="2" s="1"/>
  <c r="M292" i="2"/>
  <c r="N292" i="2" s="1"/>
  <c r="E295" i="2"/>
  <c r="F294" i="2"/>
  <c r="K291" i="2"/>
  <c r="L291" i="2"/>
  <c r="M291" i="2"/>
  <c r="N291" i="2" s="1"/>
  <c r="O290" i="2"/>
  <c r="H293" i="2"/>
  <c r="G293" i="2"/>
  <c r="I293" i="2"/>
  <c r="O291" i="2" l="1"/>
  <c r="L292" i="2"/>
  <c r="G294" i="2"/>
  <c r="H294" i="2"/>
  <c r="I294" i="2"/>
  <c r="E296" i="2"/>
  <c r="F295" i="2"/>
  <c r="J293" i="2"/>
  <c r="I295" i="2" l="1"/>
  <c r="G295" i="2"/>
  <c r="H295" i="2"/>
  <c r="M293" i="2"/>
  <c r="N293" i="2" s="1"/>
  <c r="K293" i="2"/>
  <c r="O293" i="2" s="1"/>
  <c r="E297" i="2"/>
  <c r="F296" i="2"/>
  <c r="J294" i="2"/>
  <c r="N294" i="2" l="1"/>
  <c r="M294" i="2"/>
  <c r="K294" i="2"/>
  <c r="L294" i="2" s="1"/>
  <c r="E298" i="2"/>
  <c r="F297" i="2"/>
  <c r="L293" i="2"/>
  <c r="J295" i="2"/>
  <c r="G296" i="2"/>
  <c r="J296" i="2" s="1"/>
  <c r="H296" i="2"/>
  <c r="I296" i="2"/>
  <c r="L296" i="2" l="1"/>
  <c r="M296" i="2"/>
  <c r="N296" i="2" s="1"/>
  <c r="K296" i="2"/>
  <c r="O296" i="2" s="1"/>
  <c r="I297" i="2"/>
  <c r="H297" i="2"/>
  <c r="G297" i="2"/>
  <c r="J297" i="2" s="1"/>
  <c r="F298" i="2"/>
  <c r="E299" i="2"/>
  <c r="O294" i="2"/>
  <c r="K295" i="2"/>
  <c r="L295" i="2" s="1"/>
  <c r="M295" i="2"/>
  <c r="N295" i="2" s="1"/>
  <c r="E300" i="2" l="1"/>
  <c r="F299" i="2"/>
  <c r="I298" i="2"/>
  <c r="G298" i="2"/>
  <c r="H298" i="2"/>
  <c r="O295" i="2"/>
  <c r="K297" i="2"/>
  <c r="O297" i="2" s="1"/>
  <c r="M297" i="2"/>
  <c r="N297" i="2" s="1"/>
  <c r="L297" i="2"/>
  <c r="G299" i="2" l="1"/>
  <c r="H299" i="2"/>
  <c r="I299" i="2"/>
  <c r="J298" i="2"/>
  <c r="F300" i="2"/>
  <c r="E301" i="2"/>
  <c r="E302" i="2" l="1"/>
  <c r="F301" i="2"/>
  <c r="K298" i="2"/>
  <c r="L298" i="2"/>
  <c r="M298" i="2"/>
  <c r="N298" i="2"/>
  <c r="O298" i="2"/>
  <c r="J299" i="2"/>
  <c r="H300" i="2"/>
  <c r="I300" i="2"/>
  <c r="G300" i="2"/>
  <c r="J300" i="2" s="1"/>
  <c r="K300" i="2" l="1"/>
  <c r="L300" i="2" s="1"/>
  <c r="M300" i="2"/>
  <c r="N300" i="2" s="1"/>
  <c r="F302" i="2"/>
  <c r="E303" i="2"/>
  <c r="I301" i="2"/>
  <c r="G301" i="2"/>
  <c r="H301" i="2"/>
  <c r="M299" i="2"/>
  <c r="N299" i="2" s="1"/>
  <c r="K299" i="2"/>
  <c r="O299" i="2" s="1"/>
  <c r="L299" i="2"/>
  <c r="O300" i="2" l="1"/>
  <c r="F303" i="2"/>
  <c r="E304" i="2"/>
  <c r="J301" i="2"/>
  <c r="G302" i="2"/>
  <c r="H302" i="2"/>
  <c r="I302" i="2"/>
  <c r="H303" i="2" l="1"/>
  <c r="G303" i="2"/>
  <c r="J303" i="2" s="1"/>
  <c r="I303" i="2"/>
  <c r="J302" i="2"/>
  <c r="M301" i="2"/>
  <c r="N301" i="2" s="1"/>
  <c r="K301" i="2"/>
  <c r="O301" i="2" s="1"/>
  <c r="E305" i="2"/>
  <c r="F304" i="2"/>
  <c r="F305" i="2" l="1"/>
  <c r="E306" i="2"/>
  <c r="I304" i="2"/>
  <c r="H304" i="2"/>
  <c r="G304" i="2"/>
  <c r="J304" i="2" s="1"/>
  <c r="O302" i="2"/>
  <c r="M302" i="2"/>
  <c r="N302" i="2"/>
  <c r="K302" i="2"/>
  <c r="L302" i="2"/>
  <c r="L301" i="2"/>
  <c r="K303" i="2"/>
  <c r="O303" i="2" s="1"/>
  <c r="N303" i="2"/>
  <c r="M303" i="2"/>
  <c r="F306" i="2" l="1"/>
  <c r="E307" i="2"/>
  <c r="L303" i="2"/>
  <c r="K304" i="2"/>
  <c r="O304" i="2" s="1"/>
  <c r="M304" i="2"/>
  <c r="N304" i="2" s="1"/>
  <c r="H305" i="2"/>
  <c r="I305" i="2"/>
  <c r="G305" i="2"/>
  <c r="F307" i="2" l="1"/>
  <c r="E308" i="2"/>
  <c r="J305" i="2"/>
  <c r="L304" i="2"/>
  <c r="I306" i="2"/>
  <c r="G306" i="2"/>
  <c r="H306" i="2"/>
  <c r="G307" i="2" l="1"/>
  <c r="I307" i="2"/>
  <c r="H307" i="2"/>
  <c r="J306" i="2"/>
  <c r="E309" i="2"/>
  <c r="F308" i="2"/>
  <c r="M305" i="2"/>
  <c r="N305" i="2" s="1"/>
  <c r="K305" i="2"/>
  <c r="L305" i="2" s="1"/>
  <c r="O305" i="2" l="1"/>
  <c r="I308" i="2"/>
  <c r="G308" i="2"/>
  <c r="H308" i="2"/>
  <c r="K306" i="2"/>
  <c r="O306" i="2" s="1"/>
  <c r="M306" i="2"/>
  <c r="N306" i="2" s="1"/>
  <c r="L306" i="2"/>
  <c r="J307" i="2"/>
  <c r="E310" i="2"/>
  <c r="F309" i="2"/>
  <c r="H309" i="2" l="1"/>
  <c r="G309" i="2"/>
  <c r="J309" i="2" s="1"/>
  <c r="I309" i="2"/>
  <c r="F310" i="2"/>
  <c r="E311" i="2"/>
  <c r="M307" i="2"/>
  <c r="N307" i="2" s="1"/>
  <c r="K307" i="2"/>
  <c r="O307" i="2" s="1"/>
  <c r="J308" i="2"/>
  <c r="O308" i="2" l="1"/>
  <c r="M308" i="2"/>
  <c r="N308" i="2" s="1"/>
  <c r="K308" i="2"/>
  <c r="L308" i="2" s="1"/>
  <c r="L307" i="2"/>
  <c r="I310" i="2"/>
  <c r="G310" i="2"/>
  <c r="H310" i="2"/>
  <c r="M309" i="2"/>
  <c r="N309" i="2" s="1"/>
  <c r="K309" i="2"/>
  <c r="O309" i="2" s="1"/>
  <c r="F311" i="2"/>
  <c r="E312" i="2"/>
  <c r="L309" i="2" l="1"/>
  <c r="E313" i="2"/>
  <c r="F312" i="2"/>
  <c r="J310" i="2"/>
  <c r="G311" i="2"/>
  <c r="I311" i="2"/>
  <c r="H311" i="2"/>
  <c r="J311" i="2" l="1"/>
  <c r="O310" i="2"/>
  <c r="M310" i="2"/>
  <c r="K310" i="2"/>
  <c r="L310" i="2"/>
  <c r="N310" i="2"/>
  <c r="E314" i="2"/>
  <c r="F313" i="2"/>
  <c r="H312" i="2"/>
  <c r="G312" i="2"/>
  <c r="I312" i="2"/>
  <c r="J312" i="2" l="1"/>
  <c r="I313" i="2"/>
  <c r="H313" i="2"/>
  <c r="G313" i="2"/>
  <c r="E315" i="2"/>
  <c r="F314" i="2"/>
  <c r="K311" i="2"/>
  <c r="L311" i="2" s="1"/>
  <c r="M311" i="2"/>
  <c r="N311" i="2" s="1"/>
  <c r="G314" i="2" l="1"/>
  <c r="H314" i="2"/>
  <c r="I314" i="2"/>
  <c r="J313" i="2"/>
  <c r="O311" i="2"/>
  <c r="E316" i="2"/>
  <c r="F315" i="2"/>
  <c r="M312" i="2"/>
  <c r="N312" i="2" s="1"/>
  <c r="K312" i="2"/>
  <c r="L312" i="2" s="1"/>
  <c r="O312" i="2" l="1"/>
  <c r="G315" i="2"/>
  <c r="J315" i="2" s="1"/>
  <c r="H315" i="2"/>
  <c r="I315" i="2"/>
  <c r="F316" i="2"/>
  <c r="E317" i="2"/>
  <c r="K313" i="2"/>
  <c r="L313" i="2" s="1"/>
  <c r="M313" i="2"/>
  <c r="O313" i="2" s="1"/>
  <c r="N313" i="2"/>
  <c r="J314" i="2"/>
  <c r="M314" i="2" l="1"/>
  <c r="N314" i="2" s="1"/>
  <c r="K314" i="2"/>
  <c r="O314" i="2" s="1"/>
  <c r="E318" i="2"/>
  <c r="F317" i="2"/>
  <c r="K315" i="2"/>
  <c r="O315" i="2" s="1"/>
  <c r="M315" i="2"/>
  <c r="N315" i="2"/>
  <c r="I316" i="2"/>
  <c r="G316" i="2"/>
  <c r="H316" i="2"/>
  <c r="L315" i="2" l="1"/>
  <c r="I317" i="2"/>
  <c r="G317" i="2"/>
  <c r="H317" i="2"/>
  <c r="E319" i="2"/>
  <c r="F318" i="2"/>
  <c r="L314" i="2"/>
  <c r="J316" i="2"/>
  <c r="E320" i="2" l="1"/>
  <c r="F319" i="2"/>
  <c r="K316" i="2"/>
  <c r="L316" i="2" s="1"/>
  <c r="M316" i="2"/>
  <c r="N316" i="2" s="1"/>
  <c r="O316" i="2"/>
  <c r="G318" i="2"/>
  <c r="I318" i="2"/>
  <c r="H318" i="2"/>
  <c r="J317" i="2"/>
  <c r="M317" i="2" l="1"/>
  <c r="N317" i="2" s="1"/>
  <c r="K317" i="2"/>
  <c r="L317" i="2" s="1"/>
  <c r="G319" i="2"/>
  <c r="H319" i="2"/>
  <c r="I319" i="2"/>
  <c r="J318" i="2"/>
  <c r="E321" i="2"/>
  <c r="F320" i="2"/>
  <c r="G320" i="2" l="1"/>
  <c r="H320" i="2"/>
  <c r="I320" i="2"/>
  <c r="M318" i="2"/>
  <c r="N318" i="2" s="1"/>
  <c r="K318" i="2"/>
  <c r="L318" i="2" s="1"/>
  <c r="O317" i="2"/>
  <c r="E322" i="2"/>
  <c r="F321" i="2"/>
  <c r="J319" i="2"/>
  <c r="G321" i="2" l="1"/>
  <c r="I321" i="2"/>
  <c r="H321" i="2"/>
  <c r="K319" i="2"/>
  <c r="O319" i="2" s="1"/>
  <c r="M319" i="2"/>
  <c r="N319" i="2"/>
  <c r="F322" i="2"/>
  <c r="E323" i="2"/>
  <c r="O318" i="2"/>
  <c r="J320" i="2"/>
  <c r="K320" i="2" l="1"/>
  <c r="L320" i="2"/>
  <c r="M320" i="2"/>
  <c r="O320" i="2" s="1"/>
  <c r="N320" i="2"/>
  <c r="E324" i="2"/>
  <c r="F323" i="2"/>
  <c r="I322" i="2"/>
  <c r="G322" i="2"/>
  <c r="H322" i="2"/>
  <c r="L319" i="2"/>
  <c r="J321" i="2"/>
  <c r="M321" i="2" l="1"/>
  <c r="N321" i="2" s="1"/>
  <c r="K321" i="2"/>
  <c r="O321" i="2" s="1"/>
  <c r="J322" i="2"/>
  <c r="G323" i="2"/>
  <c r="H323" i="2"/>
  <c r="I323" i="2"/>
  <c r="E325" i="2"/>
  <c r="F324" i="2"/>
  <c r="F325" i="2" l="1"/>
  <c r="E326" i="2"/>
  <c r="H324" i="2"/>
  <c r="G324" i="2"/>
  <c r="I324" i="2"/>
  <c r="J323" i="2"/>
  <c r="M322" i="2"/>
  <c r="K322" i="2"/>
  <c r="L322" i="2" s="1"/>
  <c r="N322" i="2"/>
  <c r="L321" i="2"/>
  <c r="O322" i="2" l="1"/>
  <c r="K323" i="2"/>
  <c r="L323" i="2"/>
  <c r="M323" i="2"/>
  <c r="O323" i="2" s="1"/>
  <c r="N323" i="2"/>
  <c r="J324" i="2"/>
  <c r="E327" i="2"/>
  <c r="F326" i="2"/>
  <c r="I325" i="2"/>
  <c r="G325" i="2"/>
  <c r="H325" i="2"/>
  <c r="J325" i="2" l="1"/>
  <c r="H326" i="2"/>
  <c r="I326" i="2"/>
  <c r="G326" i="2"/>
  <c r="F327" i="2"/>
  <c r="E328" i="2"/>
  <c r="M324" i="2"/>
  <c r="N324" i="2" s="1"/>
  <c r="K324" i="2"/>
  <c r="O324" i="2" s="1"/>
  <c r="L324" i="2" l="1"/>
  <c r="E329" i="2"/>
  <c r="F328" i="2"/>
  <c r="J326" i="2"/>
  <c r="G327" i="2"/>
  <c r="H327" i="2"/>
  <c r="I327" i="2"/>
  <c r="K325" i="2"/>
  <c r="O325" i="2" s="1"/>
  <c r="L325" i="2"/>
  <c r="M325" i="2"/>
  <c r="N325" i="2" s="1"/>
  <c r="J327" i="2" l="1"/>
  <c r="K326" i="2"/>
  <c r="L326" i="2" s="1"/>
  <c r="M326" i="2"/>
  <c r="N326" i="2" s="1"/>
  <c r="H328" i="2"/>
  <c r="G328" i="2"/>
  <c r="J328" i="2" s="1"/>
  <c r="I328" i="2"/>
  <c r="F329" i="2"/>
  <c r="E330" i="2"/>
  <c r="E331" i="2" l="1"/>
  <c r="F330" i="2"/>
  <c r="L328" i="2"/>
  <c r="M328" i="2"/>
  <c r="K328" i="2"/>
  <c r="N328" i="2"/>
  <c r="O328" i="2"/>
  <c r="G329" i="2"/>
  <c r="H329" i="2"/>
  <c r="I329" i="2"/>
  <c r="O326" i="2"/>
  <c r="K327" i="2"/>
  <c r="O327" i="2" s="1"/>
  <c r="M327" i="2"/>
  <c r="N327" i="2" s="1"/>
  <c r="J329" i="2" l="1"/>
  <c r="L327" i="2"/>
  <c r="I330" i="2"/>
  <c r="G330" i="2"/>
  <c r="H330" i="2"/>
  <c r="F331" i="2"/>
  <c r="E332" i="2"/>
  <c r="E333" i="2" l="1"/>
  <c r="F332" i="2"/>
  <c r="J330" i="2"/>
  <c r="H331" i="2"/>
  <c r="I331" i="2"/>
  <c r="G331" i="2"/>
  <c r="J331" i="2" s="1"/>
  <c r="M329" i="2"/>
  <c r="N329" i="2" s="1"/>
  <c r="K329" i="2"/>
  <c r="O329" i="2" s="1"/>
  <c r="L329" i="2" l="1"/>
  <c r="M331" i="2"/>
  <c r="N331" i="2" s="1"/>
  <c r="K331" i="2"/>
  <c r="O331" i="2" s="1"/>
  <c r="M330" i="2"/>
  <c r="N330" i="2" s="1"/>
  <c r="K330" i="2"/>
  <c r="L330" i="2" s="1"/>
  <c r="H332" i="2"/>
  <c r="I332" i="2"/>
  <c r="G332" i="2"/>
  <c r="J332" i="2" s="1"/>
  <c r="F333" i="2"/>
  <c r="E334" i="2"/>
  <c r="O330" i="2" l="1"/>
  <c r="F334" i="2"/>
  <c r="E335" i="2"/>
  <c r="L331" i="2"/>
  <c r="G333" i="2"/>
  <c r="H333" i="2"/>
  <c r="I333" i="2"/>
  <c r="M332" i="2"/>
  <c r="N332" i="2" s="1"/>
  <c r="K332" i="2"/>
  <c r="L332" i="2" s="1"/>
  <c r="O332" i="2" l="1"/>
  <c r="J333" i="2"/>
  <c r="E336" i="2"/>
  <c r="F335" i="2"/>
  <c r="H334" i="2"/>
  <c r="I334" i="2"/>
  <c r="G334" i="2"/>
  <c r="J334" i="2" s="1"/>
  <c r="K334" i="2" l="1"/>
  <c r="M334" i="2"/>
  <c r="L334" i="2"/>
  <c r="O334" i="2"/>
  <c r="N334" i="2"/>
  <c r="G335" i="2"/>
  <c r="H335" i="2"/>
  <c r="I335" i="2"/>
  <c r="E337" i="2"/>
  <c r="F336" i="2"/>
  <c r="K333" i="2"/>
  <c r="L333" i="2" s="1"/>
  <c r="M333" i="2"/>
  <c r="N333" i="2" s="1"/>
  <c r="H336" i="2" l="1"/>
  <c r="G336" i="2"/>
  <c r="J336" i="2" s="1"/>
  <c r="I336" i="2"/>
  <c r="F337" i="2"/>
  <c r="E338" i="2"/>
  <c r="J335" i="2"/>
  <c r="O333" i="2"/>
  <c r="M335" i="2" l="1"/>
  <c r="N335" i="2" s="1"/>
  <c r="K335" i="2"/>
  <c r="L335" i="2" s="1"/>
  <c r="I337" i="2"/>
  <c r="H337" i="2"/>
  <c r="G337" i="2"/>
  <c r="J337" i="2" s="1"/>
  <c r="E339" i="2"/>
  <c r="F338" i="2"/>
  <c r="L336" i="2"/>
  <c r="M336" i="2"/>
  <c r="N336" i="2" s="1"/>
  <c r="K336" i="2"/>
  <c r="F339" i="2" l="1"/>
  <c r="E340" i="2"/>
  <c r="G338" i="2"/>
  <c r="H338" i="2"/>
  <c r="I338" i="2"/>
  <c r="O335" i="2"/>
  <c r="O336" i="2"/>
  <c r="K337" i="2"/>
  <c r="M337" i="2"/>
  <c r="N337" i="2" s="1"/>
  <c r="L337" i="2"/>
  <c r="O337" i="2" l="1"/>
  <c r="J338" i="2"/>
  <c r="E341" i="2"/>
  <c r="F340" i="2"/>
  <c r="G339" i="2"/>
  <c r="H339" i="2"/>
  <c r="I339" i="2"/>
  <c r="G340" i="2" l="1"/>
  <c r="J340" i="2" s="1"/>
  <c r="I340" i="2"/>
  <c r="H340" i="2"/>
  <c r="J339" i="2"/>
  <c r="F341" i="2"/>
  <c r="E342" i="2"/>
  <c r="K338" i="2"/>
  <c r="L338" i="2"/>
  <c r="M338" i="2"/>
  <c r="O338" i="2" s="1"/>
  <c r="N338" i="2" l="1"/>
  <c r="F342" i="2"/>
  <c r="E343" i="2"/>
  <c r="I341" i="2"/>
  <c r="G341" i="2"/>
  <c r="J341" i="2" s="1"/>
  <c r="H341" i="2"/>
  <c r="K339" i="2"/>
  <c r="L339" i="2" s="1"/>
  <c r="M339" i="2"/>
  <c r="N339" i="2" s="1"/>
  <c r="L340" i="2"/>
  <c r="K340" i="2"/>
  <c r="O340" i="2" s="1"/>
  <c r="M340" i="2"/>
  <c r="N340" i="2" s="1"/>
  <c r="O339" i="2" l="1"/>
  <c r="E344" i="2"/>
  <c r="F343" i="2"/>
  <c r="G342" i="2"/>
  <c r="H342" i="2"/>
  <c r="I342" i="2"/>
  <c r="M341" i="2"/>
  <c r="N341" i="2" s="1"/>
  <c r="K341" i="2"/>
  <c r="O341" i="2" s="1"/>
  <c r="L341" i="2" l="1"/>
  <c r="J342" i="2"/>
  <c r="I343" i="2"/>
  <c r="H343" i="2"/>
  <c r="G343" i="2"/>
  <c r="J343" i="2" s="1"/>
  <c r="E345" i="2"/>
  <c r="F344" i="2"/>
  <c r="E346" i="2" l="1"/>
  <c r="F345" i="2"/>
  <c r="M343" i="2"/>
  <c r="N343" i="2" s="1"/>
  <c r="K343" i="2"/>
  <c r="O343" i="2" s="1"/>
  <c r="L343" i="2"/>
  <c r="K342" i="2"/>
  <c r="O342" i="2" s="1"/>
  <c r="M342" i="2"/>
  <c r="N342" i="2" s="1"/>
  <c r="I344" i="2"/>
  <c r="G344" i="2"/>
  <c r="H344" i="2"/>
  <c r="L342" i="2" l="1"/>
  <c r="J344" i="2"/>
  <c r="I345" i="2"/>
  <c r="G345" i="2"/>
  <c r="H345" i="2"/>
  <c r="F346" i="2"/>
  <c r="E347" i="2"/>
  <c r="E348" i="2" l="1"/>
  <c r="F347" i="2"/>
  <c r="J345" i="2"/>
  <c r="M344" i="2"/>
  <c r="K344" i="2"/>
  <c r="O344" i="2" s="1"/>
  <c r="N344" i="2"/>
  <c r="G346" i="2"/>
  <c r="H346" i="2"/>
  <c r="I346" i="2"/>
  <c r="L344" i="2" l="1"/>
  <c r="J346" i="2"/>
  <c r="K345" i="2"/>
  <c r="O345" i="2" s="1"/>
  <c r="M345" i="2"/>
  <c r="N345" i="2" s="1"/>
  <c r="L345" i="2"/>
  <c r="G347" i="2"/>
  <c r="I347" i="2"/>
  <c r="H347" i="2"/>
  <c r="E349" i="2"/>
  <c r="F348" i="2"/>
  <c r="H348" i="2" l="1"/>
  <c r="I348" i="2"/>
  <c r="G348" i="2"/>
  <c r="E350" i="2"/>
  <c r="F349" i="2"/>
  <c r="J347" i="2"/>
  <c r="K346" i="2"/>
  <c r="O346" i="2" s="1"/>
  <c r="M346" i="2"/>
  <c r="N346" i="2" s="1"/>
  <c r="K347" i="2" l="1"/>
  <c r="O347" i="2" s="1"/>
  <c r="M347" i="2"/>
  <c r="N347" i="2" s="1"/>
  <c r="L346" i="2"/>
  <c r="I349" i="2"/>
  <c r="H349" i="2"/>
  <c r="G349" i="2"/>
  <c r="J349" i="2" s="1"/>
  <c r="F350" i="2"/>
  <c r="E351" i="2"/>
  <c r="J348" i="2"/>
  <c r="K348" i="2" l="1"/>
  <c r="L348" i="2" s="1"/>
  <c r="M348" i="2"/>
  <c r="N348" i="2"/>
  <c r="H350" i="2"/>
  <c r="G350" i="2"/>
  <c r="J350" i="2" s="1"/>
  <c r="I350" i="2"/>
  <c r="F351" i="2"/>
  <c r="E352" i="2"/>
  <c r="M349" i="2"/>
  <c r="N349" i="2" s="1"/>
  <c r="K349" i="2"/>
  <c r="L349" i="2" s="1"/>
  <c r="L347" i="2"/>
  <c r="O349" i="2" l="1"/>
  <c r="M350" i="2"/>
  <c r="N350" i="2" s="1"/>
  <c r="K350" i="2"/>
  <c r="O350" i="2" s="1"/>
  <c r="L350" i="2"/>
  <c r="O348" i="2"/>
  <c r="F352" i="2"/>
  <c r="E353" i="2"/>
  <c r="G351" i="2"/>
  <c r="H351" i="2"/>
  <c r="I351" i="2"/>
  <c r="F353" i="2" l="1"/>
  <c r="E354" i="2"/>
  <c r="J351" i="2"/>
  <c r="G352" i="2"/>
  <c r="H352" i="2"/>
  <c r="I352" i="2"/>
  <c r="J352" i="2" l="1"/>
  <c r="K351" i="2"/>
  <c r="L351" i="2"/>
  <c r="M351" i="2"/>
  <c r="N351" i="2"/>
  <c r="O351" i="2"/>
  <c r="F354" i="2"/>
  <c r="E355" i="2"/>
  <c r="H353" i="2"/>
  <c r="I353" i="2"/>
  <c r="G353" i="2"/>
  <c r="J353" i="2" s="1"/>
  <c r="F355" i="2" l="1"/>
  <c r="E356" i="2"/>
  <c r="G354" i="2"/>
  <c r="I354" i="2"/>
  <c r="H354" i="2"/>
  <c r="M353" i="2"/>
  <c r="N353" i="2" s="1"/>
  <c r="K353" i="2"/>
  <c r="O353" i="2" s="1"/>
  <c r="K352" i="2"/>
  <c r="O352" i="2" s="1"/>
  <c r="M352" i="2"/>
  <c r="N352" i="2"/>
  <c r="L352" i="2" l="1"/>
  <c r="L353" i="2"/>
  <c r="J354" i="2"/>
  <c r="E357" i="2"/>
  <c r="F356" i="2"/>
  <c r="G355" i="2"/>
  <c r="H355" i="2"/>
  <c r="I355" i="2"/>
  <c r="J355" i="2" l="1"/>
  <c r="E358" i="2"/>
  <c r="F357" i="2"/>
  <c r="M354" i="2"/>
  <c r="N354" i="2" s="1"/>
  <c r="K354" i="2"/>
  <c r="L354" i="2" s="1"/>
  <c r="I356" i="2"/>
  <c r="G356" i="2"/>
  <c r="H356" i="2"/>
  <c r="O354" i="2" l="1"/>
  <c r="J356" i="2"/>
  <c r="G357" i="2"/>
  <c r="I357" i="2"/>
  <c r="H357" i="2"/>
  <c r="F358" i="2"/>
  <c r="E359" i="2"/>
  <c r="K355" i="2"/>
  <c r="O355" i="2" s="1"/>
  <c r="M355" i="2"/>
  <c r="N355" i="2" s="1"/>
  <c r="G358" i="2" l="1"/>
  <c r="J358" i="2" s="1"/>
  <c r="H358" i="2"/>
  <c r="I358" i="2"/>
  <c r="F359" i="2"/>
  <c r="E360" i="2"/>
  <c r="J357" i="2"/>
  <c r="K356" i="2"/>
  <c r="O356" i="2" s="1"/>
  <c r="M356" i="2"/>
  <c r="N356" i="2" s="1"/>
  <c r="L355" i="2"/>
  <c r="M357" i="2" l="1"/>
  <c r="N357" i="2"/>
  <c r="K357" i="2"/>
  <c r="L357" i="2" s="1"/>
  <c r="L356" i="2"/>
  <c r="E361" i="2"/>
  <c r="F360" i="2"/>
  <c r="G359" i="2"/>
  <c r="H359" i="2"/>
  <c r="I359" i="2"/>
  <c r="O358" i="2"/>
  <c r="K358" i="2"/>
  <c r="L358" i="2" s="1"/>
  <c r="M358" i="2"/>
  <c r="N358" i="2"/>
  <c r="J359" i="2" l="1"/>
  <c r="F361" i="2"/>
  <c r="E362" i="2"/>
  <c r="O357" i="2"/>
  <c r="H360" i="2"/>
  <c r="G360" i="2"/>
  <c r="I360" i="2"/>
  <c r="J360" i="2" l="1"/>
  <c r="E363" i="2"/>
  <c r="F362" i="2"/>
  <c r="I361" i="2"/>
  <c r="H361" i="2"/>
  <c r="G361" i="2"/>
  <c r="J361" i="2" s="1"/>
  <c r="K359" i="2"/>
  <c r="L359" i="2" s="1"/>
  <c r="M359" i="2"/>
  <c r="N359" i="2" s="1"/>
  <c r="O359" i="2" l="1"/>
  <c r="K361" i="2"/>
  <c r="L361" i="2" s="1"/>
  <c r="M361" i="2"/>
  <c r="O361" i="2"/>
  <c r="N361" i="2"/>
  <c r="I362" i="2"/>
  <c r="G362" i="2"/>
  <c r="J362" i="2" s="1"/>
  <c r="H362" i="2"/>
  <c r="E364" i="2"/>
  <c r="F363" i="2"/>
  <c r="O360" i="2"/>
  <c r="M360" i="2"/>
  <c r="N360" i="2" s="1"/>
  <c r="K360" i="2"/>
  <c r="L360" i="2" s="1"/>
  <c r="F364" i="2" l="1"/>
  <c r="E365" i="2"/>
  <c r="N362" i="2"/>
  <c r="O362" i="2"/>
  <c r="K362" i="2"/>
  <c r="L362" i="2"/>
  <c r="M362" i="2"/>
  <c r="I363" i="2"/>
  <c r="H363" i="2"/>
  <c r="G363" i="2"/>
  <c r="J363" i="2" s="1"/>
  <c r="K363" i="2" l="1"/>
  <c r="O363" i="2" s="1"/>
  <c r="M363" i="2"/>
  <c r="N363" i="2"/>
  <c r="E366" i="2"/>
  <c r="F365" i="2"/>
  <c r="G364" i="2"/>
  <c r="H364" i="2"/>
  <c r="I364" i="2"/>
  <c r="F366" i="2" l="1"/>
  <c r="E367" i="2"/>
  <c r="J364" i="2"/>
  <c r="G365" i="2"/>
  <c r="H365" i="2"/>
  <c r="I365" i="2"/>
  <c r="L363" i="2"/>
  <c r="J365" i="2" l="1"/>
  <c r="K364" i="2"/>
  <c r="L364" i="2" s="1"/>
  <c r="M364" i="2"/>
  <c r="N364" i="2"/>
  <c r="O364" i="2"/>
  <c r="E368" i="2"/>
  <c r="F367" i="2"/>
  <c r="I366" i="2"/>
  <c r="G366" i="2"/>
  <c r="H366" i="2"/>
  <c r="J366" i="2" l="1"/>
  <c r="E369" i="2"/>
  <c r="F368" i="2"/>
  <c r="G367" i="2"/>
  <c r="H367" i="2"/>
  <c r="I367" i="2"/>
  <c r="M365" i="2"/>
  <c r="K365" i="2"/>
  <c r="L365" i="2" s="1"/>
  <c r="N365" i="2"/>
  <c r="O365" i="2" l="1"/>
  <c r="G368" i="2"/>
  <c r="I368" i="2"/>
  <c r="H368" i="2"/>
  <c r="J367" i="2"/>
  <c r="E370" i="2"/>
  <c r="F369" i="2"/>
  <c r="M366" i="2"/>
  <c r="N366" i="2" s="1"/>
  <c r="K366" i="2"/>
  <c r="L366" i="2" s="1"/>
  <c r="O366" i="2" l="1"/>
  <c r="F370" i="2"/>
  <c r="E371" i="2"/>
  <c r="K367" i="2"/>
  <c r="L367" i="2" s="1"/>
  <c r="M367" i="2"/>
  <c r="N367" i="2" s="1"/>
  <c r="J368" i="2"/>
  <c r="I369" i="2"/>
  <c r="G369" i="2"/>
  <c r="H369" i="2"/>
  <c r="J369" i="2" l="1"/>
  <c r="O367" i="2"/>
  <c r="F371" i="2"/>
  <c r="E372" i="2"/>
  <c r="H370" i="2"/>
  <c r="I370" i="2"/>
  <c r="G370" i="2"/>
  <c r="J370" i="2" s="1"/>
  <c r="M368" i="2"/>
  <c r="N368" i="2"/>
  <c r="K368" i="2"/>
  <c r="L368" i="2" s="1"/>
  <c r="O368" i="2" l="1"/>
  <c r="M370" i="2"/>
  <c r="K370" i="2"/>
  <c r="L370" i="2" s="1"/>
  <c r="N370" i="2"/>
  <c r="F372" i="2"/>
  <c r="E373" i="2"/>
  <c r="G371" i="2"/>
  <c r="I371" i="2"/>
  <c r="H371" i="2"/>
  <c r="O369" i="2"/>
  <c r="L369" i="2"/>
  <c r="K369" i="2"/>
  <c r="M369" i="2"/>
  <c r="N369" i="2" s="1"/>
  <c r="H372" i="2" l="1"/>
  <c r="I372" i="2"/>
  <c r="G372" i="2"/>
  <c r="F373" i="2"/>
  <c r="E374" i="2"/>
  <c r="O370" i="2"/>
  <c r="J371" i="2"/>
  <c r="E375" i="2" l="1"/>
  <c r="F374" i="2"/>
  <c r="I373" i="2"/>
  <c r="G373" i="2"/>
  <c r="H373" i="2"/>
  <c r="J372" i="2"/>
  <c r="M371" i="2"/>
  <c r="N371" i="2" s="1"/>
  <c r="K371" i="2"/>
  <c r="L371" i="2" s="1"/>
  <c r="O371" i="2" l="1"/>
  <c r="M372" i="2"/>
  <c r="N372" i="2"/>
  <c r="K372" i="2"/>
  <c r="L372" i="2" s="1"/>
  <c r="J373" i="2"/>
  <c r="G374" i="2"/>
  <c r="H374" i="2"/>
  <c r="I374" i="2"/>
  <c r="E376" i="2"/>
  <c r="F375" i="2"/>
  <c r="F376" i="2" l="1"/>
  <c r="E377" i="2"/>
  <c r="O372" i="2"/>
  <c r="G375" i="2"/>
  <c r="H375" i="2"/>
  <c r="I375" i="2"/>
  <c r="J374" i="2"/>
  <c r="K373" i="2"/>
  <c r="L373" i="2"/>
  <c r="M373" i="2"/>
  <c r="O373" i="2"/>
  <c r="N373" i="2"/>
  <c r="J375" i="2" l="1"/>
  <c r="M374" i="2"/>
  <c r="K374" i="2"/>
  <c r="L374" i="2"/>
  <c r="N374" i="2"/>
  <c r="O374" i="2"/>
  <c r="F377" i="2"/>
  <c r="E378" i="2"/>
  <c r="H376" i="2"/>
  <c r="I376" i="2"/>
  <c r="G376" i="2"/>
  <c r="J376" i="2" s="1"/>
  <c r="K376" i="2" l="1"/>
  <c r="L376" i="2" s="1"/>
  <c r="M376" i="2"/>
  <c r="N376" i="2"/>
  <c r="O376" i="2"/>
  <c r="G377" i="2"/>
  <c r="H377" i="2"/>
  <c r="I377" i="2"/>
  <c r="F378" i="2"/>
  <c r="E379" i="2"/>
  <c r="K375" i="2"/>
  <c r="O375" i="2" s="1"/>
  <c r="N375" i="2"/>
  <c r="M375" i="2"/>
  <c r="L375" i="2" l="1"/>
  <c r="H378" i="2"/>
  <c r="G378" i="2"/>
  <c r="I378" i="2"/>
  <c r="E380" i="2"/>
  <c r="F379" i="2"/>
  <c r="J377" i="2"/>
  <c r="G379" i="2" l="1"/>
  <c r="J379" i="2" s="1"/>
  <c r="H379" i="2"/>
  <c r="I379" i="2"/>
  <c r="E381" i="2"/>
  <c r="F380" i="2"/>
  <c r="J378" i="2"/>
  <c r="M377" i="2"/>
  <c r="N377" i="2"/>
  <c r="K377" i="2"/>
  <c r="L377" i="2"/>
  <c r="O377" i="2"/>
  <c r="K378" i="2" l="1"/>
  <c r="L378" i="2"/>
  <c r="M378" i="2"/>
  <c r="N378" i="2" s="1"/>
  <c r="G380" i="2"/>
  <c r="H380" i="2"/>
  <c r="I380" i="2"/>
  <c r="F381" i="2"/>
  <c r="E382" i="2"/>
  <c r="M379" i="2"/>
  <c r="N379" i="2" s="1"/>
  <c r="K379" i="2"/>
  <c r="L379" i="2"/>
  <c r="G381" i="2" l="1"/>
  <c r="J381" i="2" s="1"/>
  <c r="H381" i="2"/>
  <c r="I381" i="2"/>
  <c r="F382" i="2"/>
  <c r="E383" i="2"/>
  <c r="J380" i="2"/>
  <c r="O378" i="2"/>
  <c r="O379" i="2"/>
  <c r="M380" i="2" l="1"/>
  <c r="N380" i="2"/>
  <c r="K380" i="2"/>
  <c r="L380" i="2" s="1"/>
  <c r="E384" i="2"/>
  <c r="F383" i="2"/>
  <c r="I382" i="2"/>
  <c r="G382" i="2"/>
  <c r="H382" i="2"/>
  <c r="N381" i="2"/>
  <c r="L381" i="2"/>
  <c r="M381" i="2"/>
  <c r="O381" i="2" s="1"/>
  <c r="K381" i="2"/>
  <c r="J382" i="2" l="1"/>
  <c r="E385" i="2"/>
  <c r="F384" i="2"/>
  <c r="O380" i="2"/>
  <c r="G383" i="2"/>
  <c r="I383" i="2"/>
  <c r="H383" i="2"/>
  <c r="J383" i="2" l="1"/>
  <c r="H384" i="2"/>
  <c r="G384" i="2"/>
  <c r="I384" i="2"/>
  <c r="E386" i="2"/>
  <c r="F385" i="2"/>
  <c r="M382" i="2"/>
  <c r="N382" i="2" s="1"/>
  <c r="K382" i="2"/>
  <c r="O382" i="2" s="1"/>
  <c r="L382" i="2" l="1"/>
  <c r="I385" i="2"/>
  <c r="G385" i="2"/>
  <c r="H385" i="2"/>
  <c r="E387" i="2"/>
  <c r="F386" i="2"/>
  <c r="J384" i="2"/>
  <c r="M383" i="2"/>
  <c r="N383" i="2" s="1"/>
  <c r="K383" i="2"/>
  <c r="L383" i="2" s="1"/>
  <c r="O383" i="2" l="1"/>
  <c r="K384" i="2"/>
  <c r="O384" i="2" s="1"/>
  <c r="M384" i="2"/>
  <c r="L384" i="2"/>
  <c r="N384" i="2"/>
  <c r="E388" i="2"/>
  <c r="F387" i="2"/>
  <c r="J385" i="2"/>
  <c r="G386" i="2"/>
  <c r="H386" i="2"/>
  <c r="I386" i="2"/>
  <c r="J386" i="2" l="1"/>
  <c r="H387" i="2"/>
  <c r="I387" i="2"/>
  <c r="G387" i="2"/>
  <c r="J387" i="2" s="1"/>
  <c r="K385" i="2"/>
  <c r="O385" i="2" s="1"/>
  <c r="M385" i="2"/>
  <c r="N385" i="2" s="1"/>
  <c r="E389" i="2"/>
  <c r="F388" i="2"/>
  <c r="L385" i="2" l="1"/>
  <c r="H388" i="2"/>
  <c r="G388" i="2"/>
  <c r="I388" i="2"/>
  <c r="K387" i="2"/>
  <c r="L387" i="2"/>
  <c r="M387" i="2"/>
  <c r="N387" i="2" s="1"/>
  <c r="F389" i="2"/>
  <c r="E390" i="2"/>
  <c r="L386" i="2"/>
  <c r="N386" i="2"/>
  <c r="O386" i="2"/>
  <c r="K386" i="2"/>
  <c r="M386" i="2"/>
  <c r="F390" i="2" l="1"/>
  <c r="E391" i="2"/>
  <c r="O387" i="2"/>
  <c r="G389" i="2"/>
  <c r="H389" i="2"/>
  <c r="I389" i="2"/>
  <c r="J388" i="2"/>
  <c r="L388" i="2" l="1"/>
  <c r="N388" i="2"/>
  <c r="O388" i="2"/>
  <c r="K388" i="2"/>
  <c r="M388" i="2"/>
  <c r="J389" i="2"/>
  <c r="F391" i="2"/>
  <c r="E392" i="2"/>
  <c r="G390" i="2"/>
  <c r="H390" i="2"/>
  <c r="I390" i="2"/>
  <c r="E393" i="2" l="1"/>
  <c r="F392" i="2"/>
  <c r="J390" i="2"/>
  <c r="I391" i="2"/>
  <c r="H391" i="2"/>
  <c r="G391" i="2"/>
  <c r="J391" i="2" s="1"/>
  <c r="M389" i="2"/>
  <c r="N389" i="2" s="1"/>
  <c r="K389" i="2"/>
  <c r="O389" i="2" s="1"/>
  <c r="L389" i="2" l="1"/>
  <c r="K391" i="2"/>
  <c r="O391" i="2" s="1"/>
  <c r="L391" i="2"/>
  <c r="M391" i="2"/>
  <c r="N391" i="2" s="1"/>
  <c r="K390" i="2"/>
  <c r="L390" i="2" s="1"/>
  <c r="M390" i="2"/>
  <c r="O390" i="2" s="1"/>
  <c r="G392" i="2"/>
  <c r="J392" i="2" s="1"/>
  <c r="H392" i="2"/>
  <c r="I392" i="2"/>
  <c r="E394" i="2"/>
  <c r="F393" i="2"/>
  <c r="F394" i="2" l="1"/>
  <c r="E395" i="2"/>
  <c r="K392" i="2"/>
  <c r="M392" i="2"/>
  <c r="N392" i="2" s="1"/>
  <c r="L392" i="2"/>
  <c r="O392" i="2"/>
  <c r="N390" i="2"/>
  <c r="H393" i="2"/>
  <c r="G393" i="2"/>
  <c r="I393" i="2"/>
  <c r="J393" i="2" l="1"/>
  <c r="F395" i="2"/>
  <c r="E396" i="2"/>
  <c r="G394" i="2"/>
  <c r="I394" i="2"/>
  <c r="H394" i="2"/>
  <c r="J394" i="2" l="1"/>
  <c r="F396" i="2"/>
  <c r="E397" i="2"/>
  <c r="G395" i="2"/>
  <c r="I395" i="2"/>
  <c r="H395" i="2"/>
  <c r="M393" i="2"/>
  <c r="K393" i="2"/>
  <c r="N393" i="2"/>
  <c r="L393" i="2"/>
  <c r="O393" i="2"/>
  <c r="J395" i="2" l="1"/>
  <c r="E398" i="2"/>
  <c r="F397" i="2"/>
  <c r="H396" i="2"/>
  <c r="I396" i="2"/>
  <c r="G396" i="2"/>
  <c r="J396" i="2" s="1"/>
  <c r="K394" i="2"/>
  <c r="O394" i="2" s="1"/>
  <c r="M394" i="2"/>
  <c r="N394" i="2" s="1"/>
  <c r="M396" i="2" l="1"/>
  <c r="N396" i="2"/>
  <c r="K396" i="2"/>
  <c r="L396" i="2" s="1"/>
  <c r="L394" i="2"/>
  <c r="I397" i="2"/>
  <c r="H397" i="2"/>
  <c r="G397" i="2"/>
  <c r="F398" i="2"/>
  <c r="E399" i="2"/>
  <c r="K395" i="2"/>
  <c r="O395" i="2" s="1"/>
  <c r="M395" i="2"/>
  <c r="N395" i="2" s="1"/>
  <c r="H398" i="2" l="1"/>
  <c r="I398" i="2"/>
  <c r="G398" i="2"/>
  <c r="J397" i="2"/>
  <c r="L395" i="2"/>
  <c r="E400" i="2"/>
  <c r="F399" i="2"/>
  <c r="O396" i="2"/>
  <c r="G399" i="2" l="1"/>
  <c r="J399" i="2" s="1"/>
  <c r="H399" i="2"/>
  <c r="I399" i="2"/>
  <c r="O397" i="2"/>
  <c r="L397" i="2"/>
  <c r="K397" i="2"/>
  <c r="M397" i="2"/>
  <c r="N397" i="2"/>
  <c r="J398" i="2"/>
  <c r="F400" i="2"/>
  <c r="E401" i="2"/>
  <c r="E402" i="2" l="1"/>
  <c r="F401" i="2"/>
  <c r="K398" i="2"/>
  <c r="L398" i="2"/>
  <c r="M398" i="2"/>
  <c r="N398" i="2" s="1"/>
  <c r="G400" i="2"/>
  <c r="H400" i="2"/>
  <c r="I400" i="2"/>
  <c r="K399" i="2"/>
  <c r="O399" i="2" s="1"/>
  <c r="M399" i="2"/>
  <c r="N399" i="2" s="1"/>
  <c r="J400" i="2" l="1"/>
  <c r="O398" i="2"/>
  <c r="L399" i="2"/>
  <c r="I401" i="2"/>
  <c r="G401" i="2"/>
  <c r="J401" i="2" s="1"/>
  <c r="H401" i="2"/>
  <c r="F402" i="2"/>
  <c r="E403" i="2"/>
  <c r="F403" i="2" l="1"/>
  <c r="E404" i="2"/>
  <c r="M401" i="2"/>
  <c r="N401" i="2" s="1"/>
  <c r="K401" i="2"/>
  <c r="O401" i="2" s="1"/>
  <c r="G402" i="2"/>
  <c r="I402" i="2"/>
  <c r="H402" i="2"/>
  <c r="L400" i="2"/>
  <c r="O400" i="2"/>
  <c r="K400" i="2"/>
  <c r="N400" i="2"/>
  <c r="M400" i="2"/>
  <c r="J402" i="2" l="1"/>
  <c r="L401" i="2"/>
  <c r="E405" i="2"/>
  <c r="F404" i="2"/>
  <c r="H403" i="2"/>
  <c r="G403" i="2"/>
  <c r="I403" i="2"/>
  <c r="I404" i="2" l="1"/>
  <c r="H404" i="2"/>
  <c r="G404" i="2"/>
  <c r="J403" i="2"/>
  <c r="F405" i="2"/>
  <c r="E406" i="2"/>
  <c r="N402" i="2"/>
  <c r="O402" i="2"/>
  <c r="L402" i="2"/>
  <c r="K402" i="2"/>
  <c r="M402" i="2"/>
  <c r="I405" i="2" l="1"/>
  <c r="G405" i="2"/>
  <c r="H405" i="2"/>
  <c r="K403" i="2"/>
  <c r="O403" i="2" s="1"/>
  <c r="M403" i="2"/>
  <c r="N403" i="2" s="1"/>
  <c r="J404" i="2"/>
  <c r="F406" i="2"/>
  <c r="E407" i="2"/>
  <c r="G406" i="2" l="1"/>
  <c r="J406" i="2" s="1"/>
  <c r="I406" i="2"/>
  <c r="H406" i="2"/>
  <c r="L403" i="2"/>
  <c r="E408" i="2"/>
  <c r="F407" i="2"/>
  <c r="K404" i="2"/>
  <c r="L404" i="2" s="1"/>
  <c r="M404" i="2"/>
  <c r="N404" i="2" s="1"/>
  <c r="O404" i="2"/>
  <c r="J405" i="2"/>
  <c r="F408" i="2" l="1"/>
  <c r="E409" i="2"/>
  <c r="M405" i="2"/>
  <c r="N405" i="2" s="1"/>
  <c r="K405" i="2"/>
  <c r="L405" i="2" s="1"/>
  <c r="G407" i="2"/>
  <c r="H407" i="2"/>
  <c r="I407" i="2"/>
  <c r="N406" i="2"/>
  <c r="O406" i="2"/>
  <c r="K406" i="2"/>
  <c r="L406" i="2" s="1"/>
  <c r="M406" i="2"/>
  <c r="J407" i="2" l="1"/>
  <c r="O405" i="2"/>
  <c r="F409" i="2"/>
  <c r="E410" i="2"/>
  <c r="H408" i="2"/>
  <c r="I408" i="2"/>
  <c r="G408" i="2"/>
  <c r="J408" i="2" s="1"/>
  <c r="E411" i="2" l="1"/>
  <c r="F410" i="2"/>
  <c r="M408" i="2"/>
  <c r="N408" i="2" s="1"/>
  <c r="K408" i="2"/>
  <c r="O408" i="2" s="1"/>
  <c r="I409" i="2"/>
  <c r="G409" i="2"/>
  <c r="H409" i="2"/>
  <c r="L407" i="2"/>
  <c r="M407" i="2"/>
  <c r="N407" i="2" s="1"/>
  <c r="K407" i="2"/>
  <c r="J409" i="2" l="1"/>
  <c r="L408" i="2"/>
  <c r="O407" i="2"/>
  <c r="I410" i="2"/>
  <c r="G410" i="2"/>
  <c r="J410" i="2" s="1"/>
  <c r="H410" i="2"/>
  <c r="F411" i="2"/>
  <c r="E412" i="2"/>
  <c r="M410" i="2" l="1"/>
  <c r="N410" i="2" s="1"/>
  <c r="K410" i="2"/>
  <c r="O410" i="2" s="1"/>
  <c r="L410" i="2"/>
  <c r="F412" i="2"/>
  <c r="E413" i="2"/>
  <c r="H411" i="2"/>
  <c r="G411" i="2"/>
  <c r="J411" i="2" s="1"/>
  <c r="I411" i="2"/>
  <c r="M409" i="2"/>
  <c r="N409" i="2" s="1"/>
  <c r="K409" i="2"/>
  <c r="O409" i="2" s="1"/>
  <c r="L409" i="2" l="1"/>
  <c r="E414" i="2"/>
  <c r="F413" i="2"/>
  <c r="K411" i="2"/>
  <c r="L411" i="2" s="1"/>
  <c r="M411" i="2"/>
  <c r="N411" i="2" s="1"/>
  <c r="O411" i="2"/>
  <c r="G412" i="2"/>
  <c r="H412" i="2"/>
  <c r="I412" i="2"/>
  <c r="G413" i="2" l="1"/>
  <c r="J413" i="2" s="1"/>
  <c r="H413" i="2"/>
  <c r="I413" i="2"/>
  <c r="F414" i="2"/>
  <c r="E415" i="2"/>
  <c r="J412" i="2"/>
  <c r="F415" i="2" l="1"/>
  <c r="E416" i="2"/>
  <c r="L412" i="2"/>
  <c r="N412" i="2"/>
  <c r="K412" i="2"/>
  <c r="M412" i="2"/>
  <c r="O412" i="2"/>
  <c r="G414" i="2"/>
  <c r="H414" i="2"/>
  <c r="I414" i="2"/>
  <c r="M413" i="2"/>
  <c r="N413" i="2" s="1"/>
  <c r="K413" i="2"/>
  <c r="O413" i="2" s="1"/>
  <c r="J414" i="2" l="1"/>
  <c r="L413" i="2"/>
  <c r="F416" i="2"/>
  <c r="E417" i="2"/>
  <c r="G415" i="2"/>
  <c r="H415" i="2"/>
  <c r="I415" i="2"/>
  <c r="J415" i="2" l="1"/>
  <c r="F417" i="2"/>
  <c r="E418" i="2"/>
  <c r="I416" i="2"/>
  <c r="G416" i="2"/>
  <c r="H416" i="2"/>
  <c r="M414" i="2"/>
  <c r="N414" i="2" s="1"/>
  <c r="K414" i="2"/>
  <c r="O414" i="2" s="1"/>
  <c r="L414" i="2" l="1"/>
  <c r="J416" i="2"/>
  <c r="F418" i="2"/>
  <c r="E419" i="2"/>
  <c r="H417" i="2"/>
  <c r="I417" i="2"/>
  <c r="G417" i="2"/>
  <c r="J417" i="2" s="1"/>
  <c r="K415" i="2"/>
  <c r="O415" i="2" s="1"/>
  <c r="M415" i="2"/>
  <c r="N415" i="2" s="1"/>
  <c r="L415" i="2" l="1"/>
  <c r="H418" i="2"/>
  <c r="I418" i="2"/>
  <c r="G418" i="2"/>
  <c r="J418" i="2" s="1"/>
  <c r="K417" i="2"/>
  <c r="L417" i="2"/>
  <c r="M417" i="2"/>
  <c r="O417" i="2" s="1"/>
  <c r="E420" i="2"/>
  <c r="F419" i="2"/>
  <c r="O416" i="2"/>
  <c r="M416" i="2"/>
  <c r="K416" i="2"/>
  <c r="L416" i="2" s="1"/>
  <c r="N416" i="2"/>
  <c r="N417" i="2" l="1"/>
  <c r="G419" i="2"/>
  <c r="H419" i="2"/>
  <c r="I419" i="2"/>
  <c r="E421" i="2"/>
  <c r="F420" i="2"/>
  <c r="K418" i="2"/>
  <c r="O418" i="2" s="1"/>
  <c r="M418" i="2"/>
  <c r="N418" i="2" s="1"/>
  <c r="L418" i="2" l="1"/>
  <c r="F421" i="2"/>
  <c r="E422" i="2"/>
  <c r="I420" i="2"/>
  <c r="H420" i="2"/>
  <c r="G420" i="2"/>
  <c r="J420" i="2" s="1"/>
  <c r="J419" i="2"/>
  <c r="M420" i="2" l="1"/>
  <c r="N420" i="2" s="1"/>
  <c r="K420" i="2"/>
  <c r="O420" i="2" s="1"/>
  <c r="F422" i="2"/>
  <c r="E423" i="2"/>
  <c r="H421" i="2"/>
  <c r="I421" i="2"/>
  <c r="G421" i="2"/>
  <c r="J421" i="2" s="1"/>
  <c r="L419" i="2"/>
  <c r="M419" i="2"/>
  <c r="N419" i="2" s="1"/>
  <c r="K419" i="2"/>
  <c r="O419" i="2" s="1"/>
  <c r="M421" i="2" l="1"/>
  <c r="N421" i="2" s="1"/>
  <c r="K421" i="2"/>
  <c r="L421" i="2" s="1"/>
  <c r="G422" i="2"/>
  <c r="H422" i="2"/>
  <c r="I422" i="2"/>
  <c r="L420" i="2"/>
  <c r="E424" i="2"/>
  <c r="F423" i="2"/>
  <c r="H423" i="2" l="1"/>
  <c r="I423" i="2"/>
  <c r="G423" i="2"/>
  <c r="J423" i="2" s="1"/>
  <c r="J422" i="2"/>
  <c r="O421" i="2"/>
  <c r="F424" i="2"/>
  <c r="E425" i="2"/>
  <c r="F425" i="2" l="1"/>
  <c r="E426" i="2"/>
  <c r="K423" i="2"/>
  <c r="L423" i="2"/>
  <c r="M423" i="2"/>
  <c r="N423" i="2"/>
  <c r="O423" i="2"/>
  <c r="H424" i="2"/>
  <c r="G424" i="2"/>
  <c r="I424" i="2"/>
  <c r="O422" i="2"/>
  <c r="L422" i="2"/>
  <c r="M422" i="2"/>
  <c r="N422" i="2" s="1"/>
  <c r="K422" i="2"/>
  <c r="J424" i="2" l="1"/>
  <c r="E427" i="2"/>
  <c r="F426" i="2"/>
  <c r="H425" i="2"/>
  <c r="G425" i="2"/>
  <c r="I425" i="2"/>
  <c r="G426" i="2" l="1"/>
  <c r="H426" i="2"/>
  <c r="I426" i="2"/>
  <c r="J425" i="2"/>
  <c r="E428" i="2"/>
  <c r="F427" i="2"/>
  <c r="K424" i="2"/>
  <c r="O424" i="2" s="1"/>
  <c r="N424" i="2"/>
  <c r="L424" i="2"/>
  <c r="M424" i="2"/>
  <c r="H427" i="2" l="1"/>
  <c r="G427" i="2"/>
  <c r="J427" i="2" s="1"/>
  <c r="I427" i="2"/>
  <c r="F428" i="2"/>
  <c r="E429" i="2"/>
  <c r="M425" i="2"/>
  <c r="N425" i="2" s="1"/>
  <c r="K425" i="2"/>
  <c r="L425" i="2" s="1"/>
  <c r="J426" i="2"/>
  <c r="I428" i="2" l="1"/>
  <c r="G428" i="2"/>
  <c r="J428" i="2" s="1"/>
  <c r="H428" i="2"/>
  <c r="K426" i="2"/>
  <c r="L426" i="2" s="1"/>
  <c r="M426" i="2"/>
  <c r="N426" i="2" s="1"/>
  <c r="O425" i="2"/>
  <c r="E430" i="2"/>
  <c r="F429" i="2"/>
  <c r="M427" i="2"/>
  <c r="N427" i="2" s="1"/>
  <c r="K427" i="2"/>
  <c r="L427" i="2" s="1"/>
  <c r="E431" i="2" l="1"/>
  <c r="F430" i="2"/>
  <c r="O426" i="2"/>
  <c r="O427" i="2"/>
  <c r="G429" i="2"/>
  <c r="H429" i="2"/>
  <c r="I429" i="2"/>
  <c r="K428" i="2"/>
  <c r="L428" i="2" s="1"/>
  <c r="M428" i="2"/>
  <c r="N428" i="2" s="1"/>
  <c r="O428" i="2" l="1"/>
  <c r="J429" i="2"/>
  <c r="I430" i="2"/>
  <c r="H430" i="2"/>
  <c r="G430" i="2"/>
  <c r="J430" i="2" s="1"/>
  <c r="F431" i="2"/>
  <c r="E432" i="2"/>
  <c r="G431" i="2" l="1"/>
  <c r="H431" i="2"/>
  <c r="I431" i="2"/>
  <c r="E433" i="2"/>
  <c r="F432" i="2"/>
  <c r="K430" i="2"/>
  <c r="M430" i="2"/>
  <c r="L430" i="2"/>
  <c r="O430" i="2"/>
  <c r="N430" i="2"/>
  <c r="N429" i="2"/>
  <c r="K429" i="2"/>
  <c r="L429" i="2" s="1"/>
  <c r="M429" i="2"/>
  <c r="O429" i="2" l="1"/>
  <c r="I432" i="2"/>
  <c r="G432" i="2"/>
  <c r="H432" i="2"/>
  <c r="E434" i="2"/>
  <c r="F433" i="2"/>
  <c r="J431" i="2"/>
  <c r="G433" i="2" l="1"/>
  <c r="H433" i="2"/>
  <c r="I433" i="2"/>
  <c r="K431" i="2"/>
  <c r="L431" i="2" s="1"/>
  <c r="M431" i="2"/>
  <c r="O431" i="2" s="1"/>
  <c r="F434" i="2"/>
  <c r="E435" i="2"/>
  <c r="J432" i="2"/>
  <c r="M432" i="2" l="1"/>
  <c r="N432" i="2" s="1"/>
  <c r="K432" i="2"/>
  <c r="O432" i="2" s="1"/>
  <c r="G434" i="2"/>
  <c r="H434" i="2"/>
  <c r="I434" i="2"/>
  <c r="E436" i="2"/>
  <c r="F435" i="2"/>
  <c r="N431" i="2"/>
  <c r="J433" i="2"/>
  <c r="M433" i="2" l="1"/>
  <c r="N433" i="2" s="1"/>
  <c r="K433" i="2"/>
  <c r="L433" i="2" s="1"/>
  <c r="E437" i="2"/>
  <c r="F436" i="2"/>
  <c r="G435" i="2"/>
  <c r="H435" i="2"/>
  <c r="I435" i="2"/>
  <c r="J434" i="2"/>
  <c r="L432" i="2"/>
  <c r="K434" i="2" l="1"/>
  <c r="O434" i="2" s="1"/>
  <c r="L434" i="2"/>
  <c r="M434" i="2"/>
  <c r="N434" i="2" s="1"/>
  <c r="F437" i="2"/>
  <c r="E438" i="2"/>
  <c r="J435" i="2"/>
  <c r="I436" i="2"/>
  <c r="H436" i="2"/>
  <c r="G436" i="2"/>
  <c r="O433" i="2"/>
  <c r="J436" i="2" l="1"/>
  <c r="G437" i="2"/>
  <c r="J437" i="2" s="1"/>
  <c r="I437" i="2"/>
  <c r="H437" i="2"/>
  <c r="K435" i="2"/>
  <c r="M435" i="2"/>
  <c r="N435" i="2" s="1"/>
  <c r="L435" i="2"/>
  <c r="O435" i="2"/>
  <c r="F438" i="2"/>
  <c r="E439" i="2"/>
  <c r="E440" i="2" l="1"/>
  <c r="F439" i="2"/>
  <c r="G438" i="2"/>
  <c r="I438" i="2"/>
  <c r="H438" i="2"/>
  <c r="K437" i="2"/>
  <c r="L437" i="2" s="1"/>
  <c r="M437" i="2"/>
  <c r="N437" i="2"/>
  <c r="M436" i="2"/>
  <c r="N436" i="2" s="1"/>
  <c r="L436" i="2"/>
  <c r="K436" i="2"/>
  <c r="O436" i="2" l="1"/>
  <c r="O437" i="2"/>
  <c r="J438" i="2"/>
  <c r="H439" i="2"/>
  <c r="I439" i="2"/>
  <c r="G439" i="2"/>
  <c r="J439" i="2" s="1"/>
  <c r="F440" i="2"/>
  <c r="E441" i="2"/>
  <c r="M439" i="2" l="1"/>
  <c r="N439" i="2" s="1"/>
  <c r="K439" i="2"/>
  <c r="O439" i="2" s="1"/>
  <c r="F441" i="2"/>
  <c r="E442" i="2"/>
  <c r="I440" i="2"/>
  <c r="H440" i="2"/>
  <c r="G440" i="2"/>
  <c r="J440" i="2" s="1"/>
  <c r="M438" i="2"/>
  <c r="N438" i="2"/>
  <c r="K438" i="2"/>
  <c r="L438" i="2" s="1"/>
  <c r="N440" i="2" l="1"/>
  <c r="K440" i="2"/>
  <c r="L440" i="2" s="1"/>
  <c r="M440" i="2"/>
  <c r="O438" i="2"/>
  <c r="F442" i="2"/>
  <c r="E443" i="2"/>
  <c r="G441" i="2"/>
  <c r="H441" i="2"/>
  <c r="I441" i="2"/>
  <c r="L439" i="2"/>
  <c r="H442" i="2" l="1"/>
  <c r="I442" i="2"/>
  <c r="G442" i="2"/>
  <c r="J442" i="2" s="1"/>
  <c r="J441" i="2"/>
  <c r="O440" i="2"/>
  <c r="E444" i="2"/>
  <c r="F443" i="2"/>
  <c r="F444" i="2" l="1"/>
  <c r="E445" i="2"/>
  <c r="G443" i="2"/>
  <c r="J443" i="2" s="1"/>
  <c r="H443" i="2"/>
  <c r="I443" i="2"/>
  <c r="K441" i="2"/>
  <c r="L441" i="2"/>
  <c r="M441" i="2"/>
  <c r="O441" i="2"/>
  <c r="N441" i="2"/>
  <c r="K442" i="2"/>
  <c r="O442" i="2" s="1"/>
  <c r="M442" i="2"/>
  <c r="N442" i="2" s="1"/>
  <c r="L443" i="2" l="1"/>
  <c r="K443" i="2"/>
  <c r="O443" i="2"/>
  <c r="M443" i="2"/>
  <c r="N443" i="2"/>
  <c r="E446" i="2"/>
  <c r="F445" i="2"/>
  <c r="L442" i="2"/>
  <c r="G444" i="2"/>
  <c r="H444" i="2"/>
  <c r="I444" i="2"/>
  <c r="J444" i="2" l="1"/>
  <c r="E447" i="2"/>
  <c r="F446" i="2"/>
  <c r="G445" i="2"/>
  <c r="H445" i="2"/>
  <c r="I445" i="2"/>
  <c r="H446" i="2" l="1"/>
  <c r="I446" i="2"/>
  <c r="G446" i="2"/>
  <c r="J446" i="2" s="1"/>
  <c r="J445" i="2"/>
  <c r="E448" i="2"/>
  <c r="F447" i="2"/>
  <c r="M444" i="2"/>
  <c r="N444" i="2" s="1"/>
  <c r="K444" i="2"/>
  <c r="O444" i="2" s="1"/>
  <c r="G447" i="2" l="1"/>
  <c r="H447" i="2"/>
  <c r="I447" i="2"/>
  <c r="K445" i="2"/>
  <c r="L445" i="2" s="1"/>
  <c r="M445" i="2"/>
  <c r="N445" i="2" s="1"/>
  <c r="L444" i="2"/>
  <c r="O446" i="2"/>
  <c r="N446" i="2"/>
  <c r="L446" i="2"/>
  <c r="K446" i="2"/>
  <c r="M446" i="2"/>
  <c r="E449" i="2"/>
  <c r="F448" i="2"/>
  <c r="O445" i="2" l="1"/>
  <c r="H448" i="2"/>
  <c r="I448" i="2"/>
  <c r="G448" i="2"/>
  <c r="J448" i="2" s="1"/>
  <c r="F449" i="2"/>
  <c r="E450" i="2"/>
  <c r="J447" i="2"/>
  <c r="M447" i="2" l="1"/>
  <c r="K447" i="2"/>
  <c r="L447" i="2"/>
  <c r="N447" i="2"/>
  <c r="O447" i="2"/>
  <c r="F450" i="2"/>
  <c r="E451" i="2"/>
  <c r="H449" i="2"/>
  <c r="G449" i="2"/>
  <c r="I449" i="2"/>
  <c r="K448" i="2"/>
  <c r="O448" i="2" s="1"/>
  <c r="M448" i="2"/>
  <c r="N448" i="2"/>
  <c r="J449" i="2" l="1"/>
  <c r="L448" i="2"/>
  <c r="F451" i="2"/>
  <c r="E452" i="2"/>
  <c r="G450" i="2"/>
  <c r="J450" i="2" s="1"/>
  <c r="I450" i="2"/>
  <c r="H450" i="2"/>
  <c r="M450" i="2" l="1"/>
  <c r="K450" i="2"/>
  <c r="L450" i="2" s="1"/>
  <c r="N450" i="2"/>
  <c r="E453" i="2"/>
  <c r="F452" i="2"/>
  <c r="H451" i="2"/>
  <c r="G451" i="2"/>
  <c r="J451" i="2" s="1"/>
  <c r="I451" i="2"/>
  <c r="K449" i="2"/>
  <c r="O449" i="2" s="1"/>
  <c r="N449" i="2"/>
  <c r="M449" i="2"/>
  <c r="F453" i="2" l="1"/>
  <c r="E454" i="2"/>
  <c r="L449" i="2"/>
  <c r="K451" i="2"/>
  <c r="O451" i="2" s="1"/>
  <c r="M451" i="2"/>
  <c r="N451" i="2" s="1"/>
  <c r="I452" i="2"/>
  <c r="G452" i="2"/>
  <c r="H452" i="2"/>
  <c r="O450" i="2"/>
  <c r="J452" i="2" l="1"/>
  <c r="L451" i="2"/>
  <c r="I453" i="2"/>
  <c r="G453" i="2"/>
  <c r="H453" i="2"/>
  <c r="F454" i="2"/>
  <c r="E455" i="2"/>
  <c r="F455" i="2" l="1"/>
  <c r="E456" i="2"/>
  <c r="G454" i="2"/>
  <c r="H454" i="2"/>
  <c r="I454" i="2"/>
  <c r="J453" i="2"/>
  <c r="M452" i="2"/>
  <c r="N452" i="2" s="1"/>
  <c r="K452" i="2"/>
  <c r="O452" i="2" s="1"/>
  <c r="L452" i="2" l="1"/>
  <c r="M453" i="2"/>
  <c r="N453" i="2"/>
  <c r="K453" i="2"/>
  <c r="L453" i="2"/>
  <c r="O453" i="2"/>
  <c r="J454" i="2"/>
  <c r="E457" i="2"/>
  <c r="F456" i="2"/>
  <c r="I455" i="2"/>
  <c r="G455" i="2"/>
  <c r="H455" i="2"/>
  <c r="J455" i="2" l="1"/>
  <c r="K454" i="2"/>
  <c r="L454" i="2"/>
  <c r="M454" i="2"/>
  <c r="N454" i="2" s="1"/>
  <c r="O454" i="2"/>
  <c r="G456" i="2"/>
  <c r="I456" i="2"/>
  <c r="H456" i="2"/>
  <c r="F457" i="2"/>
  <c r="E458" i="2"/>
  <c r="G457" i="2" l="1"/>
  <c r="J457" i="2" s="1"/>
  <c r="H457" i="2"/>
  <c r="I457" i="2"/>
  <c r="J456" i="2"/>
  <c r="E459" i="2"/>
  <c r="F458" i="2"/>
  <c r="K455" i="2"/>
  <c r="L455" i="2" s="1"/>
  <c r="M455" i="2"/>
  <c r="N455" i="2"/>
  <c r="O455" i="2"/>
  <c r="E460" i="2" l="1"/>
  <c r="F459" i="2"/>
  <c r="I458" i="2"/>
  <c r="G458" i="2"/>
  <c r="H458" i="2"/>
  <c r="M456" i="2"/>
  <c r="N456" i="2" s="1"/>
  <c r="K456" i="2"/>
  <c r="L456" i="2"/>
  <c r="O456" i="2"/>
  <c r="M457" i="2"/>
  <c r="O457" i="2" s="1"/>
  <c r="K457" i="2"/>
  <c r="L457" i="2"/>
  <c r="J458" i="2" l="1"/>
  <c r="N457" i="2"/>
  <c r="G459" i="2"/>
  <c r="H459" i="2"/>
  <c r="I459" i="2"/>
  <c r="E461" i="2"/>
  <c r="F460" i="2"/>
  <c r="G460" i="2" l="1"/>
  <c r="J460" i="2" s="1"/>
  <c r="H460" i="2"/>
  <c r="I460" i="2"/>
  <c r="F461" i="2"/>
  <c r="E462" i="2"/>
  <c r="J459" i="2"/>
  <c r="K458" i="2"/>
  <c r="O458" i="2" s="1"/>
  <c r="M458" i="2"/>
  <c r="N458" i="2" s="1"/>
  <c r="L458" i="2" l="1"/>
  <c r="E463" i="2"/>
  <c r="F462" i="2"/>
  <c r="M459" i="2"/>
  <c r="O459" i="2"/>
  <c r="N459" i="2"/>
  <c r="K459" i="2"/>
  <c r="L459" i="2"/>
  <c r="I461" i="2"/>
  <c r="G461" i="2"/>
  <c r="H461" i="2"/>
  <c r="K460" i="2"/>
  <c r="L460" i="2" s="1"/>
  <c r="M460" i="2"/>
  <c r="N460" i="2" s="1"/>
  <c r="G462" i="2" l="1"/>
  <c r="J462" i="2" s="1"/>
  <c r="H462" i="2"/>
  <c r="I462" i="2"/>
  <c r="J461" i="2"/>
  <c r="O460" i="2"/>
  <c r="F463" i="2"/>
  <c r="E464" i="2"/>
  <c r="E465" i="2" l="1"/>
  <c r="F464" i="2"/>
  <c r="K461" i="2"/>
  <c r="L461" i="2" s="1"/>
  <c r="M461" i="2"/>
  <c r="N461" i="2" s="1"/>
  <c r="H463" i="2"/>
  <c r="G463" i="2"/>
  <c r="I463" i="2"/>
  <c r="K462" i="2"/>
  <c r="O462" i="2" s="1"/>
  <c r="M462" i="2"/>
  <c r="N462" i="2" s="1"/>
  <c r="L462" i="2" l="1"/>
  <c r="J463" i="2"/>
  <c r="O461" i="2"/>
  <c r="I464" i="2"/>
  <c r="H464" i="2"/>
  <c r="G464" i="2"/>
  <c r="F465" i="2"/>
  <c r="E466" i="2"/>
  <c r="F466" i="2" l="1"/>
  <c r="E467" i="2"/>
  <c r="J464" i="2"/>
  <c r="G465" i="2"/>
  <c r="H465" i="2"/>
  <c r="I465" i="2"/>
  <c r="M463" i="2"/>
  <c r="N463" i="2" s="1"/>
  <c r="K463" i="2"/>
  <c r="O463" i="2"/>
  <c r="L463" i="2"/>
  <c r="M464" i="2" l="1"/>
  <c r="K464" i="2"/>
  <c r="O464" i="2" s="1"/>
  <c r="N464" i="2"/>
  <c r="J465" i="2"/>
  <c r="F467" i="2"/>
  <c r="E468" i="2"/>
  <c r="G466" i="2"/>
  <c r="H466" i="2"/>
  <c r="I466" i="2"/>
  <c r="J466" i="2" l="1"/>
  <c r="F468" i="2"/>
  <c r="E469" i="2"/>
  <c r="H467" i="2"/>
  <c r="I467" i="2"/>
  <c r="G467" i="2"/>
  <c r="J467" i="2" s="1"/>
  <c r="K465" i="2"/>
  <c r="L465" i="2"/>
  <c r="M465" i="2"/>
  <c r="N465" i="2" s="1"/>
  <c r="L464" i="2"/>
  <c r="L467" i="2" l="1"/>
  <c r="K467" i="2"/>
  <c r="M467" i="2"/>
  <c r="O467" i="2"/>
  <c r="N467" i="2"/>
  <c r="E470" i="2"/>
  <c r="F469" i="2"/>
  <c r="O465" i="2"/>
  <c r="H468" i="2"/>
  <c r="I468" i="2"/>
  <c r="G468" i="2"/>
  <c r="J468" i="2" s="1"/>
  <c r="K466" i="2"/>
  <c r="O466" i="2" s="1"/>
  <c r="M466" i="2"/>
  <c r="N466" i="2"/>
  <c r="H469" i="2" l="1"/>
  <c r="I469" i="2"/>
  <c r="G469" i="2"/>
  <c r="J469" i="2" s="1"/>
  <c r="M468" i="2"/>
  <c r="K468" i="2"/>
  <c r="L468" i="2" s="1"/>
  <c r="N468" i="2"/>
  <c r="E471" i="2"/>
  <c r="F470" i="2"/>
  <c r="L466" i="2"/>
  <c r="E472" i="2" l="1"/>
  <c r="F471" i="2"/>
  <c r="M469" i="2"/>
  <c r="N469" i="2" s="1"/>
  <c r="K469" i="2"/>
  <c r="L469" i="2" s="1"/>
  <c r="G470" i="2"/>
  <c r="I470" i="2"/>
  <c r="H470" i="2"/>
  <c r="O468" i="2"/>
  <c r="J470" i="2" l="1"/>
  <c r="O469" i="2"/>
  <c r="H471" i="2"/>
  <c r="I471" i="2"/>
  <c r="G471" i="2"/>
  <c r="F472" i="2"/>
  <c r="E473" i="2"/>
  <c r="G472" i="2" l="1"/>
  <c r="I472" i="2"/>
  <c r="H472" i="2"/>
  <c r="F473" i="2"/>
  <c r="E474" i="2"/>
  <c r="J471" i="2"/>
  <c r="K470" i="2"/>
  <c r="L470" i="2" s="1"/>
  <c r="M470" i="2"/>
  <c r="N470" i="2" s="1"/>
  <c r="O470" i="2" l="1"/>
  <c r="K471" i="2"/>
  <c r="O471" i="2" s="1"/>
  <c r="M471" i="2"/>
  <c r="N471" i="2" s="1"/>
  <c r="H473" i="2"/>
  <c r="I473" i="2"/>
  <c r="G473" i="2"/>
  <c r="J473" i="2" s="1"/>
  <c r="F474" i="2"/>
  <c r="E475" i="2"/>
  <c r="J472" i="2"/>
  <c r="M472" i="2" l="1"/>
  <c r="N472" i="2" s="1"/>
  <c r="K472" i="2"/>
  <c r="L472" i="2" s="1"/>
  <c r="O472" i="2"/>
  <c r="G474" i="2"/>
  <c r="H474" i="2"/>
  <c r="I474" i="2"/>
  <c r="L471" i="2"/>
  <c r="M473" i="2"/>
  <c r="N473" i="2" s="1"/>
  <c r="K473" i="2"/>
  <c r="L473" i="2" s="1"/>
  <c r="F475" i="2"/>
  <c r="E476" i="2"/>
  <c r="O473" i="2" l="1"/>
  <c r="J474" i="2"/>
  <c r="E477" i="2"/>
  <c r="F476" i="2"/>
  <c r="H475" i="2"/>
  <c r="G475" i="2"/>
  <c r="I475" i="2"/>
  <c r="J475" i="2" l="1"/>
  <c r="E478" i="2"/>
  <c r="F477" i="2"/>
  <c r="K474" i="2"/>
  <c r="L474" i="2"/>
  <c r="M474" i="2"/>
  <c r="O474" i="2"/>
  <c r="N474" i="2"/>
  <c r="I476" i="2"/>
  <c r="G476" i="2"/>
  <c r="H476" i="2"/>
  <c r="J476" i="2" l="1"/>
  <c r="G477" i="2"/>
  <c r="J477" i="2" s="1"/>
  <c r="H477" i="2"/>
  <c r="I477" i="2"/>
  <c r="F478" i="2"/>
  <c r="E479" i="2"/>
  <c r="M475" i="2"/>
  <c r="N475" i="2" s="1"/>
  <c r="K475" i="2"/>
  <c r="L475" i="2" s="1"/>
  <c r="E480" i="2" l="1"/>
  <c r="F479" i="2"/>
  <c r="O475" i="2"/>
  <c r="I478" i="2"/>
  <c r="G478" i="2"/>
  <c r="H478" i="2"/>
  <c r="M477" i="2"/>
  <c r="N477" i="2" s="1"/>
  <c r="K477" i="2"/>
  <c r="O477" i="2" s="1"/>
  <c r="N476" i="2"/>
  <c r="K476" i="2"/>
  <c r="L476" i="2"/>
  <c r="M476" i="2"/>
  <c r="O476" i="2" s="1"/>
  <c r="L477" i="2" l="1"/>
  <c r="J478" i="2"/>
  <c r="G479" i="2"/>
  <c r="H479" i="2"/>
  <c r="I479" i="2"/>
  <c r="F480" i="2"/>
  <c r="E481" i="2"/>
  <c r="E482" i="2" l="1"/>
  <c r="F481" i="2"/>
  <c r="I480" i="2"/>
  <c r="G480" i="2"/>
  <c r="H480" i="2"/>
  <c r="J479" i="2"/>
  <c r="K478" i="2"/>
  <c r="O478" i="2" s="1"/>
  <c r="M478" i="2"/>
  <c r="N478" i="2" s="1"/>
  <c r="L478" i="2" l="1"/>
  <c r="K479" i="2"/>
  <c r="L479" i="2" s="1"/>
  <c r="M479" i="2"/>
  <c r="N479" i="2" s="1"/>
  <c r="J480" i="2"/>
  <c r="G481" i="2"/>
  <c r="H481" i="2"/>
  <c r="I481" i="2"/>
  <c r="E483" i="2"/>
  <c r="F482" i="2"/>
  <c r="E484" i="2" l="1"/>
  <c r="F483" i="2"/>
  <c r="G482" i="2"/>
  <c r="H482" i="2"/>
  <c r="I482" i="2"/>
  <c r="J481" i="2"/>
  <c r="O479" i="2"/>
  <c r="M480" i="2"/>
  <c r="N480" i="2" s="1"/>
  <c r="K480" i="2"/>
  <c r="L480" i="2" s="1"/>
  <c r="O480" i="2" l="1"/>
  <c r="J482" i="2"/>
  <c r="K481" i="2"/>
  <c r="L481" i="2" s="1"/>
  <c r="M481" i="2"/>
  <c r="O481" i="2" s="1"/>
  <c r="I483" i="2"/>
  <c r="G483" i="2"/>
  <c r="H483" i="2"/>
  <c r="F484" i="2"/>
  <c r="E485" i="2"/>
  <c r="G484" i="2" l="1"/>
  <c r="J484" i="2" s="1"/>
  <c r="H484" i="2"/>
  <c r="I484" i="2"/>
  <c r="N481" i="2"/>
  <c r="F485" i="2"/>
  <c r="E486" i="2"/>
  <c r="J483" i="2"/>
  <c r="M482" i="2"/>
  <c r="N482" i="2" s="1"/>
  <c r="K482" i="2"/>
  <c r="O482" i="2" s="1"/>
  <c r="E487" i="2" l="1"/>
  <c r="F486" i="2"/>
  <c r="L482" i="2"/>
  <c r="K483" i="2"/>
  <c r="O483" i="2" s="1"/>
  <c r="M483" i="2"/>
  <c r="N483" i="2" s="1"/>
  <c r="G485" i="2"/>
  <c r="H485" i="2"/>
  <c r="I485" i="2"/>
  <c r="L484" i="2"/>
  <c r="M484" i="2"/>
  <c r="N484" i="2" s="1"/>
  <c r="K484" i="2"/>
  <c r="O484" i="2" s="1"/>
  <c r="J485" i="2" l="1"/>
  <c r="L483" i="2"/>
  <c r="G486" i="2"/>
  <c r="I486" i="2"/>
  <c r="H486" i="2"/>
  <c r="F487" i="2"/>
  <c r="E488" i="2"/>
  <c r="F488" i="2" l="1"/>
  <c r="E489" i="2"/>
  <c r="H487" i="2"/>
  <c r="G487" i="2"/>
  <c r="I487" i="2"/>
  <c r="J486" i="2"/>
  <c r="K485" i="2"/>
  <c r="L485" i="2" s="1"/>
  <c r="M485" i="2"/>
  <c r="N485" i="2"/>
  <c r="O485" i="2"/>
  <c r="K486" i="2" l="1"/>
  <c r="O486" i="2" s="1"/>
  <c r="M486" i="2"/>
  <c r="N486" i="2" s="1"/>
  <c r="J487" i="2"/>
  <c r="E490" i="2"/>
  <c r="F489" i="2"/>
  <c r="I488" i="2"/>
  <c r="H488" i="2"/>
  <c r="G488" i="2"/>
  <c r="J488" i="2" l="1"/>
  <c r="F490" i="2"/>
  <c r="E491" i="2"/>
  <c r="L486" i="2"/>
  <c r="I489" i="2"/>
  <c r="G489" i="2"/>
  <c r="H489" i="2"/>
  <c r="K487" i="2"/>
  <c r="L487" i="2"/>
  <c r="M487" i="2"/>
  <c r="N487" i="2"/>
  <c r="O487" i="2"/>
  <c r="J489" i="2" l="1"/>
  <c r="F491" i="2"/>
  <c r="E492" i="2"/>
  <c r="I490" i="2"/>
  <c r="G490" i="2"/>
  <c r="H490" i="2"/>
  <c r="M488" i="2"/>
  <c r="N488" i="2" s="1"/>
  <c r="K488" i="2"/>
  <c r="L488" i="2" s="1"/>
  <c r="O488" i="2" l="1"/>
  <c r="J490" i="2"/>
  <c r="E493" i="2"/>
  <c r="F492" i="2"/>
  <c r="G491" i="2"/>
  <c r="H491" i="2"/>
  <c r="I491" i="2"/>
  <c r="M489" i="2"/>
  <c r="N489" i="2" s="1"/>
  <c r="K489" i="2"/>
  <c r="L489" i="2" s="1"/>
  <c r="O489" i="2" l="1"/>
  <c r="H492" i="2"/>
  <c r="I492" i="2"/>
  <c r="G492" i="2"/>
  <c r="J491" i="2"/>
  <c r="E494" i="2"/>
  <c r="F493" i="2"/>
  <c r="K490" i="2"/>
  <c r="M490" i="2"/>
  <c r="N490" i="2" s="1"/>
  <c r="L490" i="2"/>
  <c r="F494" i="2" l="1"/>
  <c r="E495" i="2"/>
  <c r="J492" i="2"/>
  <c r="O490" i="2"/>
  <c r="H493" i="2"/>
  <c r="G493" i="2"/>
  <c r="I493" i="2"/>
  <c r="L491" i="2"/>
  <c r="K491" i="2"/>
  <c r="M491" i="2"/>
  <c r="N491" i="2"/>
  <c r="O491" i="2"/>
  <c r="J493" i="2" l="1"/>
  <c r="M492" i="2"/>
  <c r="N492" i="2" s="1"/>
  <c r="K492" i="2"/>
  <c r="L492" i="2" s="1"/>
  <c r="E496" i="2"/>
  <c r="F495" i="2"/>
  <c r="G494" i="2"/>
  <c r="H494" i="2"/>
  <c r="I494" i="2"/>
  <c r="J494" i="2" l="1"/>
  <c r="E497" i="2"/>
  <c r="F496" i="2"/>
  <c r="O492" i="2"/>
  <c r="G495" i="2"/>
  <c r="I495" i="2"/>
  <c r="H495" i="2"/>
  <c r="K493" i="2"/>
  <c r="M493" i="2"/>
  <c r="N493" i="2" s="1"/>
  <c r="O493" i="2"/>
  <c r="L493" i="2"/>
  <c r="J495" i="2" l="1"/>
  <c r="G496" i="2"/>
  <c r="H496" i="2"/>
  <c r="I496" i="2"/>
  <c r="F497" i="2"/>
  <c r="E498" i="2"/>
  <c r="M494" i="2"/>
  <c r="N494" i="2" s="1"/>
  <c r="K494" i="2"/>
  <c r="L494" i="2" s="1"/>
  <c r="O494" i="2" l="1"/>
  <c r="E499" i="2"/>
  <c r="F498" i="2"/>
  <c r="G497" i="2"/>
  <c r="H497" i="2"/>
  <c r="I497" i="2"/>
  <c r="J496" i="2"/>
  <c r="N495" i="2"/>
  <c r="O495" i="2"/>
  <c r="L495" i="2"/>
  <c r="K495" i="2"/>
  <c r="M495" i="2"/>
  <c r="J497" i="2" l="1"/>
  <c r="N496" i="2"/>
  <c r="K496" i="2"/>
  <c r="O496" i="2" s="1"/>
  <c r="M496" i="2"/>
  <c r="G498" i="2"/>
  <c r="H498" i="2"/>
  <c r="I498" i="2"/>
  <c r="E500" i="2"/>
  <c r="F499" i="2"/>
  <c r="H499" i="2" l="1"/>
  <c r="I499" i="2"/>
  <c r="G499" i="2"/>
  <c r="F500" i="2"/>
  <c r="E501" i="2"/>
  <c r="J498" i="2"/>
  <c r="L496" i="2"/>
  <c r="K497" i="2"/>
  <c r="M497" i="2"/>
  <c r="N497" i="2" s="1"/>
  <c r="L497" i="2"/>
  <c r="O497" i="2"/>
  <c r="I500" i="2" l="1"/>
  <c r="G500" i="2"/>
  <c r="H500" i="2"/>
  <c r="K498" i="2"/>
  <c r="L498" i="2" s="1"/>
  <c r="M498" i="2"/>
  <c r="N498" i="2" s="1"/>
  <c r="E502" i="2"/>
  <c r="F501" i="2"/>
  <c r="J499" i="2"/>
  <c r="G501" i="2" l="1"/>
  <c r="H501" i="2"/>
  <c r="I501" i="2"/>
  <c r="F502" i="2"/>
  <c r="E503" i="2"/>
  <c r="O498" i="2"/>
  <c r="K499" i="2"/>
  <c r="N499" i="2"/>
  <c r="O499" i="2"/>
  <c r="L499" i="2"/>
  <c r="M499" i="2"/>
  <c r="G502" i="2" l="1"/>
  <c r="H502" i="2"/>
  <c r="I502" i="2"/>
  <c r="F503" i="2"/>
  <c r="E504" i="2"/>
  <c r="J501" i="2"/>
  <c r="F504" i="2" l="1"/>
  <c r="E505" i="2"/>
  <c r="K501" i="2"/>
  <c r="M501" i="2"/>
  <c r="O501" i="2" s="1"/>
  <c r="L501" i="2"/>
  <c r="G503" i="2"/>
  <c r="H503" i="2"/>
  <c r="I503" i="2"/>
  <c r="J502" i="2"/>
  <c r="K502" i="2" l="1"/>
  <c r="L502" i="2" s="1"/>
  <c r="M502" i="2"/>
  <c r="N502" i="2"/>
  <c r="O502" i="2"/>
  <c r="N501" i="2"/>
  <c r="J503" i="2"/>
  <c r="E506" i="2"/>
  <c r="F505" i="2"/>
  <c r="H504" i="2"/>
  <c r="I504" i="2"/>
  <c r="G504" i="2"/>
  <c r="J504" i="2" s="1"/>
  <c r="N504" i="2" l="1"/>
  <c r="L504" i="2"/>
  <c r="M504" i="2"/>
  <c r="K504" i="2"/>
  <c r="O504" i="2" s="1"/>
  <c r="E507" i="2"/>
  <c r="F506" i="2"/>
  <c r="H505" i="2"/>
  <c r="I505" i="2"/>
  <c r="G505" i="2"/>
  <c r="M503" i="2"/>
  <c r="N503" i="2" s="1"/>
  <c r="K503" i="2"/>
  <c r="L503" i="2" s="1"/>
  <c r="I506" i="2" l="1"/>
  <c r="H506" i="2"/>
  <c r="G506" i="2"/>
  <c r="O503" i="2"/>
  <c r="J505" i="2"/>
  <c r="F507" i="2"/>
  <c r="E508" i="2"/>
  <c r="G507" i="2" l="1"/>
  <c r="H507" i="2"/>
  <c r="I507" i="2"/>
  <c r="F508" i="2"/>
  <c r="E509" i="2"/>
  <c r="K505" i="2"/>
  <c r="O505" i="2" s="1"/>
  <c r="M505" i="2"/>
  <c r="N505" i="2" s="1"/>
  <c r="J506" i="2"/>
  <c r="M506" i="2" l="1"/>
  <c r="N506" i="2" s="1"/>
  <c r="K506" i="2"/>
  <c r="L506" i="2" s="1"/>
  <c r="L505" i="2"/>
  <c r="H508" i="2"/>
  <c r="I508" i="2"/>
  <c r="G508" i="2"/>
  <c r="J508" i="2" s="1"/>
  <c r="F509" i="2"/>
  <c r="E510" i="2"/>
  <c r="J507" i="2"/>
  <c r="K508" i="2" l="1"/>
  <c r="O508" i="2" s="1"/>
  <c r="M508" i="2"/>
  <c r="N508" i="2" s="1"/>
  <c r="M507" i="2"/>
  <c r="N507" i="2" s="1"/>
  <c r="K507" i="2"/>
  <c r="O507" i="2" s="1"/>
  <c r="L507" i="2"/>
  <c r="G509" i="2"/>
  <c r="H509" i="2"/>
  <c r="I509" i="2"/>
  <c r="O506" i="2"/>
  <c r="E511" i="2"/>
  <c r="F510" i="2"/>
  <c r="H510" i="2" l="1"/>
  <c r="G510" i="2"/>
  <c r="J510" i="2" s="1"/>
  <c r="I510" i="2"/>
  <c r="L508" i="2"/>
  <c r="J509" i="2"/>
  <c r="F511" i="2"/>
  <c r="E512" i="2"/>
  <c r="I511" i="2" l="1"/>
  <c r="G511" i="2"/>
  <c r="J511" i="2" s="1"/>
  <c r="H511" i="2"/>
  <c r="F512" i="2"/>
  <c r="E513" i="2"/>
  <c r="M509" i="2"/>
  <c r="N509" i="2" s="1"/>
  <c r="K509" i="2"/>
  <c r="L509" i="2" s="1"/>
  <c r="K510" i="2"/>
  <c r="O510" i="2" s="1"/>
  <c r="N510" i="2"/>
  <c r="M510" i="2"/>
  <c r="L510" i="2" l="1"/>
  <c r="O509" i="2"/>
  <c r="I512" i="2"/>
  <c r="G512" i="2"/>
  <c r="J512" i="2" s="1"/>
  <c r="H512" i="2"/>
  <c r="E514" i="2"/>
  <c r="F513" i="2"/>
  <c r="K511" i="2"/>
  <c r="O511" i="2" s="1"/>
  <c r="M511" i="2"/>
  <c r="N511" i="2" s="1"/>
  <c r="L511" i="2" l="1"/>
  <c r="L512" i="2"/>
  <c r="M512" i="2"/>
  <c r="K512" i="2"/>
  <c r="O512" i="2" s="1"/>
  <c r="N512" i="2"/>
  <c r="G513" i="2"/>
  <c r="H513" i="2"/>
  <c r="I513" i="2"/>
  <c r="E515" i="2"/>
  <c r="F514" i="2"/>
  <c r="G514" i="2" l="1"/>
  <c r="J514" i="2" s="1"/>
  <c r="H514" i="2"/>
  <c r="I514" i="2"/>
  <c r="J513" i="2"/>
  <c r="F515" i="2"/>
  <c r="E516" i="2"/>
  <c r="K513" i="2" l="1"/>
  <c r="O513" i="2" s="1"/>
  <c r="N513" i="2"/>
  <c r="M513" i="2"/>
  <c r="E517" i="2"/>
  <c r="F516" i="2"/>
  <c r="I515" i="2"/>
  <c r="H515" i="2"/>
  <c r="G515" i="2"/>
  <c r="N514" i="2"/>
  <c r="K514" i="2"/>
  <c r="L514" i="2" s="1"/>
  <c r="M514" i="2"/>
  <c r="J515" i="2" l="1"/>
  <c r="G516" i="2"/>
  <c r="J516" i="2" s="1"/>
  <c r="H516" i="2"/>
  <c r="I516" i="2"/>
  <c r="L513" i="2"/>
  <c r="O514" i="2"/>
  <c r="E518" i="2"/>
  <c r="F517" i="2"/>
  <c r="I517" i="2" l="1"/>
  <c r="G517" i="2"/>
  <c r="J517" i="2" s="1"/>
  <c r="H517" i="2"/>
  <c r="E519" i="2"/>
  <c r="F518" i="2"/>
  <c r="M516" i="2"/>
  <c r="N516" i="2" s="1"/>
  <c r="K516" i="2"/>
  <c r="L516" i="2" s="1"/>
  <c r="M515" i="2"/>
  <c r="N515" i="2" s="1"/>
  <c r="K515" i="2"/>
  <c r="L515" i="2" s="1"/>
  <c r="O516" i="2" l="1"/>
  <c r="E520" i="2"/>
  <c r="F519" i="2"/>
  <c r="G518" i="2"/>
  <c r="I518" i="2"/>
  <c r="H518" i="2"/>
  <c r="O515" i="2"/>
  <c r="K517" i="2"/>
  <c r="O517" i="2" s="1"/>
  <c r="M517" i="2"/>
  <c r="N517" i="2" s="1"/>
  <c r="L517" i="2"/>
  <c r="J518" i="2" l="1"/>
  <c r="H519" i="2"/>
  <c r="I519" i="2"/>
  <c r="G519" i="2"/>
  <c r="F520" i="2"/>
  <c r="E521" i="2"/>
  <c r="F521" i="2" l="1"/>
  <c r="E522" i="2"/>
  <c r="J519" i="2"/>
  <c r="H520" i="2"/>
  <c r="I520" i="2"/>
  <c r="G520" i="2"/>
  <c r="J520" i="2" s="1"/>
  <c r="K518" i="2"/>
  <c r="L518" i="2" s="1"/>
  <c r="M518" i="2"/>
  <c r="N518" i="2" s="1"/>
  <c r="O518" i="2" l="1"/>
  <c r="O520" i="2"/>
  <c r="K520" i="2"/>
  <c r="L520" i="2" s="1"/>
  <c r="M520" i="2"/>
  <c r="N520" i="2"/>
  <c r="M519" i="2"/>
  <c r="N519" i="2" s="1"/>
  <c r="K519" i="2"/>
  <c r="O519" i="2" s="1"/>
  <c r="F522" i="2"/>
  <c r="E523" i="2"/>
  <c r="G521" i="2"/>
  <c r="J521" i="2" s="1"/>
  <c r="H521" i="2"/>
  <c r="I521" i="2"/>
  <c r="M521" i="2" l="1"/>
  <c r="N521" i="2" s="1"/>
  <c r="K521" i="2"/>
  <c r="O521" i="2" s="1"/>
  <c r="L519" i="2"/>
  <c r="H522" i="2"/>
  <c r="G522" i="2"/>
  <c r="I522" i="2"/>
  <c r="E524" i="2"/>
  <c r="F523" i="2"/>
  <c r="F524" i="2" l="1"/>
  <c r="E525" i="2"/>
  <c r="J522" i="2"/>
  <c r="L521" i="2"/>
  <c r="I523" i="2"/>
  <c r="H523" i="2"/>
  <c r="G523" i="2"/>
  <c r="J523" i="2" s="1"/>
  <c r="L523" i="2" l="1"/>
  <c r="M523" i="2"/>
  <c r="N523" i="2" s="1"/>
  <c r="K523" i="2"/>
  <c r="O523" i="2" s="1"/>
  <c r="F525" i="2"/>
  <c r="E526" i="2"/>
  <c r="K522" i="2"/>
  <c r="L522" i="2"/>
  <c r="M522" i="2"/>
  <c r="N522" i="2"/>
  <c r="O522" i="2"/>
  <c r="G524" i="2"/>
  <c r="H524" i="2"/>
  <c r="I524" i="2"/>
  <c r="E527" i="2" l="1"/>
  <c r="F526" i="2"/>
  <c r="H525" i="2"/>
  <c r="I525" i="2"/>
  <c r="G525" i="2"/>
  <c r="J524" i="2"/>
  <c r="H526" i="2" l="1"/>
  <c r="I526" i="2"/>
  <c r="G526" i="2"/>
  <c r="K524" i="2"/>
  <c r="L524" i="2" s="1"/>
  <c r="M524" i="2"/>
  <c r="N524" i="2"/>
  <c r="O524" i="2"/>
  <c r="J525" i="2"/>
  <c r="E528" i="2"/>
  <c r="F527" i="2"/>
  <c r="F528" i="2" l="1"/>
  <c r="E529" i="2"/>
  <c r="K525" i="2"/>
  <c r="M525" i="2"/>
  <c r="N525" i="2"/>
  <c r="L525" i="2"/>
  <c r="O525" i="2"/>
  <c r="J526" i="2"/>
  <c r="I527" i="2"/>
  <c r="G527" i="2"/>
  <c r="H527" i="2"/>
  <c r="J527" i="2" l="1"/>
  <c r="M526" i="2"/>
  <c r="N526" i="2"/>
  <c r="K526" i="2"/>
  <c r="L526" i="2" s="1"/>
  <c r="F529" i="2"/>
  <c r="E530" i="2"/>
  <c r="G528" i="2"/>
  <c r="H528" i="2"/>
  <c r="I528" i="2"/>
  <c r="J528" i="2" l="1"/>
  <c r="E531" i="2"/>
  <c r="F530" i="2"/>
  <c r="H529" i="2"/>
  <c r="I529" i="2"/>
  <c r="G529" i="2"/>
  <c r="J529" i="2" s="1"/>
  <c r="O526" i="2"/>
  <c r="M527" i="2"/>
  <c r="K527" i="2"/>
  <c r="O527" i="2" s="1"/>
  <c r="L527" i="2"/>
  <c r="N527" i="2"/>
  <c r="K529" i="2" l="1"/>
  <c r="O529" i="2" s="1"/>
  <c r="M529" i="2"/>
  <c r="N529" i="2" s="1"/>
  <c r="G530" i="2"/>
  <c r="H530" i="2"/>
  <c r="I530" i="2"/>
  <c r="F531" i="2"/>
  <c r="E532" i="2"/>
  <c r="N528" i="2"/>
  <c r="L528" i="2"/>
  <c r="K528" i="2"/>
  <c r="O528" i="2"/>
  <c r="M528" i="2"/>
  <c r="F532" i="2" l="1"/>
  <c r="E533" i="2"/>
  <c r="H531" i="2"/>
  <c r="I531" i="2"/>
  <c r="G531" i="2"/>
  <c r="J530" i="2"/>
  <c r="L529" i="2"/>
  <c r="E534" i="2" l="1"/>
  <c r="F533" i="2"/>
  <c r="K530" i="2"/>
  <c r="L530" i="2" s="1"/>
  <c r="M530" i="2"/>
  <c r="O530" i="2" s="1"/>
  <c r="J531" i="2"/>
  <c r="H532" i="2"/>
  <c r="I532" i="2"/>
  <c r="G532" i="2"/>
  <c r="J532" i="2" s="1"/>
  <c r="M532" i="2" l="1"/>
  <c r="N532" i="2" s="1"/>
  <c r="K532" i="2"/>
  <c r="O532" i="2" s="1"/>
  <c r="N531" i="2"/>
  <c r="M531" i="2"/>
  <c r="K531" i="2"/>
  <c r="L531" i="2" s="1"/>
  <c r="N530" i="2"/>
  <c r="G533" i="2"/>
  <c r="J533" i="2" s="1"/>
  <c r="H533" i="2"/>
  <c r="I533" i="2"/>
  <c r="F534" i="2"/>
  <c r="E535" i="2"/>
  <c r="O531" i="2" l="1"/>
  <c r="M533" i="2"/>
  <c r="N533" i="2" s="1"/>
  <c r="K533" i="2"/>
  <c r="O533" i="2" s="1"/>
  <c r="E536" i="2"/>
  <c r="F535" i="2"/>
  <c r="H534" i="2"/>
  <c r="G534" i="2"/>
  <c r="I534" i="2"/>
  <c r="L532" i="2"/>
  <c r="J534" i="2" l="1"/>
  <c r="I535" i="2"/>
  <c r="G535" i="2"/>
  <c r="H535" i="2"/>
  <c r="E537" i="2"/>
  <c r="F536" i="2"/>
  <c r="L533" i="2"/>
  <c r="I536" i="2" l="1"/>
  <c r="H536" i="2"/>
  <c r="G536" i="2"/>
  <c r="E538" i="2"/>
  <c r="F537" i="2"/>
  <c r="J535" i="2"/>
  <c r="M534" i="2"/>
  <c r="K534" i="2"/>
  <c r="L534" i="2" s="1"/>
  <c r="N534" i="2"/>
  <c r="O534" i="2" l="1"/>
  <c r="E539" i="2"/>
  <c r="F538" i="2"/>
  <c r="K535" i="2"/>
  <c r="O535" i="2" s="1"/>
  <c r="M535" i="2"/>
  <c r="N535" i="2" s="1"/>
  <c r="G537" i="2"/>
  <c r="H537" i="2"/>
  <c r="I537" i="2"/>
  <c r="J536" i="2"/>
  <c r="J537" i="2" l="1"/>
  <c r="L536" i="2"/>
  <c r="K536" i="2"/>
  <c r="M536" i="2"/>
  <c r="N536" i="2" s="1"/>
  <c r="L535" i="2"/>
  <c r="G538" i="2"/>
  <c r="I538" i="2"/>
  <c r="H538" i="2"/>
  <c r="E540" i="2"/>
  <c r="F539" i="2"/>
  <c r="F540" i="2" l="1"/>
  <c r="E541" i="2"/>
  <c r="G539" i="2"/>
  <c r="H539" i="2"/>
  <c r="I539" i="2"/>
  <c r="J538" i="2"/>
  <c r="O536" i="2"/>
  <c r="K537" i="2"/>
  <c r="L537" i="2" s="1"/>
  <c r="M537" i="2"/>
  <c r="N537" i="2" s="1"/>
  <c r="O537" i="2" l="1"/>
  <c r="K538" i="2"/>
  <c r="L538" i="2" s="1"/>
  <c r="M538" i="2"/>
  <c r="N538" i="2" s="1"/>
  <c r="J539" i="2"/>
  <c r="E542" i="2"/>
  <c r="F541" i="2"/>
  <c r="G540" i="2"/>
  <c r="H540" i="2"/>
  <c r="I540" i="2"/>
  <c r="E543" i="2" l="1"/>
  <c r="F542" i="2"/>
  <c r="J540" i="2"/>
  <c r="G541" i="2"/>
  <c r="I541" i="2"/>
  <c r="H541" i="2"/>
  <c r="M539" i="2"/>
  <c r="N539" i="2"/>
  <c r="K539" i="2"/>
  <c r="L539" i="2" s="1"/>
  <c r="O538" i="2"/>
  <c r="O539" i="2" l="1"/>
  <c r="J541" i="2"/>
  <c r="N540" i="2"/>
  <c r="K540" i="2"/>
  <c r="L540" i="2"/>
  <c r="M540" i="2"/>
  <c r="O540" i="2"/>
  <c r="I542" i="2"/>
  <c r="G542" i="2"/>
  <c r="H542" i="2"/>
  <c r="F543" i="2"/>
  <c r="E544" i="2"/>
  <c r="F544" i="2" l="1"/>
  <c r="E545" i="2"/>
  <c r="J542" i="2"/>
  <c r="H543" i="2"/>
  <c r="G543" i="2"/>
  <c r="I543" i="2"/>
  <c r="M541" i="2"/>
  <c r="N541" i="2" s="1"/>
  <c r="K541" i="2"/>
  <c r="O541" i="2" s="1"/>
  <c r="L541" i="2"/>
  <c r="J543" i="2" l="1"/>
  <c r="K542" i="2"/>
  <c r="M542" i="2"/>
  <c r="O542" i="2" s="1"/>
  <c r="N542" i="2"/>
  <c r="L542" i="2"/>
  <c r="E546" i="2"/>
  <c r="F545" i="2"/>
  <c r="G544" i="2"/>
  <c r="H544" i="2"/>
  <c r="I544" i="2"/>
  <c r="J544" i="2" l="1"/>
  <c r="G545" i="2"/>
  <c r="I545" i="2"/>
  <c r="H545" i="2"/>
  <c r="F546" i="2"/>
  <c r="E547" i="2"/>
  <c r="K543" i="2"/>
  <c r="M543" i="2"/>
  <c r="N543" i="2" s="1"/>
  <c r="L543" i="2"/>
  <c r="O543" i="2" l="1"/>
  <c r="F547" i="2"/>
  <c r="E548" i="2"/>
  <c r="H546" i="2"/>
  <c r="G546" i="2"/>
  <c r="I546" i="2"/>
  <c r="J545" i="2"/>
  <c r="M544" i="2"/>
  <c r="N544" i="2" s="1"/>
  <c r="K544" i="2"/>
  <c r="L544" i="2" s="1"/>
  <c r="O544" i="2" l="1"/>
  <c r="K545" i="2"/>
  <c r="O545" i="2" s="1"/>
  <c r="L545" i="2"/>
  <c r="M545" i="2"/>
  <c r="N545" i="2" s="1"/>
  <c r="J546" i="2"/>
  <c r="F548" i="2"/>
  <c r="E549" i="2"/>
  <c r="I547" i="2"/>
  <c r="G547" i="2"/>
  <c r="H547" i="2"/>
  <c r="J547" i="2" l="1"/>
  <c r="E550" i="2"/>
  <c r="F549" i="2"/>
  <c r="H548" i="2"/>
  <c r="I548" i="2"/>
  <c r="G548" i="2"/>
  <c r="J548" i="2" s="1"/>
  <c r="K546" i="2"/>
  <c r="L546" i="2"/>
  <c r="M546" i="2"/>
  <c r="N546" i="2"/>
  <c r="O546" i="2"/>
  <c r="K548" i="2" l="1"/>
  <c r="L548" i="2" s="1"/>
  <c r="M548" i="2"/>
  <c r="N548" i="2" s="1"/>
  <c r="G549" i="2"/>
  <c r="H549" i="2"/>
  <c r="I549" i="2"/>
  <c r="E551" i="2"/>
  <c r="F550" i="2"/>
  <c r="M547" i="2"/>
  <c r="N547" i="2" s="1"/>
  <c r="K547" i="2"/>
  <c r="O547" i="2" s="1"/>
  <c r="L547" i="2"/>
  <c r="H550" i="2" l="1"/>
  <c r="I550" i="2"/>
  <c r="G550" i="2"/>
  <c r="O548" i="2"/>
  <c r="E552" i="2"/>
  <c r="F551" i="2"/>
  <c r="J549" i="2"/>
  <c r="H551" i="2" l="1"/>
  <c r="I551" i="2"/>
  <c r="G551" i="2"/>
  <c r="K549" i="2"/>
  <c r="L549" i="2" s="1"/>
  <c r="M549" i="2"/>
  <c r="N549" i="2"/>
  <c r="O549" i="2"/>
  <c r="F552" i="2"/>
  <c r="E553" i="2"/>
  <c r="J550" i="2"/>
  <c r="F553" i="2" l="1"/>
  <c r="E554" i="2"/>
  <c r="M550" i="2"/>
  <c r="N550" i="2" s="1"/>
  <c r="K550" i="2"/>
  <c r="L550" i="2" s="1"/>
  <c r="G552" i="2"/>
  <c r="H552" i="2"/>
  <c r="I552" i="2"/>
  <c r="J551" i="2"/>
  <c r="J552" i="2" l="1"/>
  <c r="O550" i="2"/>
  <c r="M551" i="2"/>
  <c r="N551" i="2"/>
  <c r="K551" i="2"/>
  <c r="O551" i="2" s="1"/>
  <c r="E555" i="2"/>
  <c r="F554" i="2"/>
  <c r="G553" i="2"/>
  <c r="H553" i="2"/>
  <c r="I553" i="2"/>
  <c r="J553" i="2" l="1"/>
  <c r="L551" i="2"/>
  <c r="H554" i="2"/>
  <c r="I554" i="2"/>
  <c r="G554" i="2"/>
  <c r="J554" i="2" s="1"/>
  <c r="E556" i="2"/>
  <c r="F555" i="2"/>
  <c r="M552" i="2"/>
  <c r="N552" i="2" s="1"/>
  <c r="K552" i="2"/>
  <c r="O552" i="2" s="1"/>
  <c r="L552" i="2" l="1"/>
  <c r="G555" i="2"/>
  <c r="J555" i="2" s="1"/>
  <c r="I555" i="2"/>
  <c r="H555" i="2"/>
  <c r="F556" i="2"/>
  <c r="E557" i="2"/>
  <c r="K554" i="2"/>
  <c r="L554" i="2"/>
  <c r="M554" i="2"/>
  <c r="O554" i="2" s="1"/>
  <c r="L553" i="2"/>
  <c r="M553" i="2"/>
  <c r="N553" i="2" s="1"/>
  <c r="K553" i="2"/>
  <c r="N554" i="2" l="1"/>
  <c r="O553" i="2"/>
  <c r="E558" i="2"/>
  <c r="F557" i="2"/>
  <c r="G556" i="2"/>
  <c r="H556" i="2"/>
  <c r="I556" i="2"/>
  <c r="K555" i="2"/>
  <c r="L555" i="2" s="1"/>
  <c r="M555" i="2"/>
  <c r="N555" i="2" s="1"/>
  <c r="O555" i="2" l="1"/>
  <c r="G557" i="2"/>
  <c r="J557" i="2" s="1"/>
  <c r="H557" i="2"/>
  <c r="I557" i="2"/>
  <c r="J556" i="2"/>
  <c r="E559" i="2"/>
  <c r="F558" i="2"/>
  <c r="F559" i="2" l="1"/>
  <c r="E560" i="2"/>
  <c r="H558" i="2"/>
  <c r="G558" i="2"/>
  <c r="I558" i="2"/>
  <c r="M556" i="2"/>
  <c r="N556" i="2" s="1"/>
  <c r="K556" i="2"/>
  <c r="O556" i="2" s="1"/>
  <c r="N557" i="2"/>
  <c r="O557" i="2"/>
  <c r="K557" i="2"/>
  <c r="L557" i="2"/>
  <c r="M557" i="2"/>
  <c r="L556" i="2" l="1"/>
  <c r="J558" i="2"/>
  <c r="F560" i="2"/>
  <c r="E561" i="2"/>
  <c r="I559" i="2"/>
  <c r="G559" i="2"/>
  <c r="H559" i="2"/>
  <c r="F561" i="2" l="1"/>
  <c r="E562" i="2"/>
  <c r="J559" i="2"/>
  <c r="G560" i="2"/>
  <c r="H560" i="2"/>
  <c r="I560" i="2"/>
  <c r="M558" i="2"/>
  <c r="N558" i="2" s="1"/>
  <c r="K558" i="2"/>
  <c r="O558" i="2" s="1"/>
  <c r="L558" i="2" l="1"/>
  <c r="J560" i="2"/>
  <c r="K559" i="2"/>
  <c r="L559" i="2"/>
  <c r="M559" i="2"/>
  <c r="N559" i="2" s="1"/>
  <c r="F562" i="2"/>
  <c r="E563" i="2"/>
  <c r="I561" i="2"/>
  <c r="G561" i="2"/>
  <c r="H561" i="2"/>
  <c r="J561" i="2" l="1"/>
  <c r="E564" i="2"/>
  <c r="F563" i="2"/>
  <c r="I562" i="2"/>
  <c r="G562" i="2"/>
  <c r="H562" i="2"/>
  <c r="O559" i="2"/>
  <c r="M560" i="2"/>
  <c r="N560" i="2" s="1"/>
  <c r="K560" i="2"/>
  <c r="O560" i="2" s="1"/>
  <c r="L560" i="2"/>
  <c r="J562" i="2" l="1"/>
  <c r="G563" i="2"/>
  <c r="J563" i="2" s="1"/>
  <c r="H563" i="2"/>
  <c r="I563" i="2"/>
  <c r="E565" i="2"/>
  <c r="F564" i="2"/>
  <c r="K561" i="2"/>
  <c r="L561" i="2"/>
  <c r="M561" i="2"/>
  <c r="N561" i="2" s="1"/>
  <c r="O561" i="2" l="1"/>
  <c r="G564" i="2"/>
  <c r="H564" i="2"/>
  <c r="I564" i="2"/>
  <c r="F565" i="2"/>
  <c r="E566" i="2"/>
  <c r="M563" i="2"/>
  <c r="N563" i="2" s="1"/>
  <c r="K563" i="2"/>
  <c r="O563" i="2" s="1"/>
  <c r="L562" i="2"/>
  <c r="K562" i="2"/>
  <c r="M562" i="2"/>
  <c r="O562" i="2"/>
  <c r="N562" i="2"/>
  <c r="L563" i="2" l="1"/>
  <c r="G565" i="2"/>
  <c r="H565" i="2"/>
  <c r="I565" i="2"/>
  <c r="E567" i="2"/>
  <c r="F566" i="2"/>
  <c r="J564" i="2"/>
  <c r="N564" i="2" l="1"/>
  <c r="K564" i="2"/>
  <c r="O564" i="2"/>
  <c r="L564" i="2"/>
  <c r="M564" i="2"/>
  <c r="G566" i="2"/>
  <c r="H566" i="2"/>
  <c r="I566" i="2"/>
  <c r="E568" i="2"/>
  <c r="F567" i="2"/>
  <c r="J565" i="2"/>
  <c r="M565" i="2" l="1"/>
  <c r="N565" i="2"/>
  <c r="K565" i="2"/>
  <c r="O565" i="2" s="1"/>
  <c r="L565" i="2"/>
  <c r="I567" i="2"/>
  <c r="G567" i="2"/>
  <c r="H567" i="2"/>
  <c r="F568" i="2"/>
  <c r="E569" i="2"/>
  <c r="J566" i="2"/>
  <c r="F569" i="2" l="1"/>
  <c r="E570" i="2"/>
  <c r="K566" i="2"/>
  <c r="M566" i="2"/>
  <c r="N566" i="2" s="1"/>
  <c r="L566" i="2"/>
  <c r="G568" i="2"/>
  <c r="H568" i="2"/>
  <c r="I568" i="2"/>
  <c r="J567" i="2"/>
  <c r="K567" i="2" l="1"/>
  <c r="L567" i="2" s="1"/>
  <c r="N567" i="2"/>
  <c r="M567" i="2"/>
  <c r="J568" i="2"/>
  <c r="O566" i="2"/>
  <c r="E571" i="2"/>
  <c r="F570" i="2"/>
  <c r="G569" i="2"/>
  <c r="H569" i="2"/>
  <c r="I569" i="2"/>
  <c r="H570" i="2" l="1"/>
  <c r="I570" i="2"/>
  <c r="G570" i="2"/>
  <c r="E572" i="2"/>
  <c r="F571" i="2"/>
  <c r="K568" i="2"/>
  <c r="L568" i="2"/>
  <c r="O568" i="2"/>
  <c r="M568" i="2"/>
  <c r="N568" i="2"/>
  <c r="O567" i="2"/>
  <c r="J569" i="2"/>
  <c r="I571" i="2" l="1"/>
  <c r="G571" i="2"/>
  <c r="H571" i="2"/>
  <c r="M569" i="2"/>
  <c r="N569" i="2" s="1"/>
  <c r="K569" i="2"/>
  <c r="L569" i="2" s="1"/>
  <c r="F572" i="2"/>
  <c r="E573" i="2"/>
  <c r="J570" i="2"/>
  <c r="G572" i="2" l="1"/>
  <c r="J572" i="2" s="1"/>
  <c r="H572" i="2"/>
  <c r="I572" i="2"/>
  <c r="O569" i="2"/>
  <c r="K570" i="2"/>
  <c r="L570" i="2" s="1"/>
  <c r="M570" i="2"/>
  <c r="N570" i="2"/>
  <c r="J571" i="2"/>
  <c r="F573" i="2"/>
  <c r="E574" i="2"/>
  <c r="H573" i="2" l="1"/>
  <c r="I573" i="2"/>
  <c r="G573" i="2"/>
  <c r="O570" i="2"/>
  <c r="E575" i="2"/>
  <c r="F574" i="2"/>
  <c r="M571" i="2"/>
  <c r="N571" i="2" s="1"/>
  <c r="K571" i="2"/>
  <c r="O571" i="2" s="1"/>
  <c r="M572" i="2"/>
  <c r="N572" i="2" s="1"/>
  <c r="K572" i="2"/>
  <c r="L572" i="2"/>
  <c r="F575" i="2" l="1"/>
  <c r="E576" i="2"/>
  <c r="O572" i="2"/>
  <c r="J573" i="2"/>
  <c r="L571" i="2"/>
  <c r="H574" i="2"/>
  <c r="I574" i="2"/>
  <c r="G574" i="2"/>
  <c r="J574" i="2" s="1"/>
  <c r="K574" i="2" l="1"/>
  <c r="L574" i="2" s="1"/>
  <c r="M574" i="2"/>
  <c r="O574" i="2"/>
  <c r="N574" i="2"/>
  <c r="K573" i="2"/>
  <c r="L573" i="2" s="1"/>
  <c r="M573" i="2"/>
  <c r="N573" i="2" s="1"/>
  <c r="E577" i="2"/>
  <c r="F576" i="2"/>
  <c r="H575" i="2"/>
  <c r="I575" i="2"/>
  <c r="G575" i="2"/>
  <c r="E578" i="2" l="1"/>
  <c r="F577" i="2"/>
  <c r="O573" i="2"/>
  <c r="I576" i="2"/>
  <c r="G576" i="2"/>
  <c r="H576" i="2"/>
  <c r="J575" i="2"/>
  <c r="M575" i="2" l="1"/>
  <c r="N575" i="2" s="1"/>
  <c r="L575" i="2"/>
  <c r="K575" i="2"/>
  <c r="J576" i="2"/>
  <c r="G577" i="2"/>
  <c r="H577" i="2"/>
  <c r="I577" i="2"/>
  <c r="E579" i="2"/>
  <c r="F578" i="2"/>
  <c r="G578" i="2" l="1"/>
  <c r="J578" i="2" s="1"/>
  <c r="I578" i="2"/>
  <c r="H578" i="2"/>
  <c r="J577" i="2"/>
  <c r="E580" i="2"/>
  <c r="F579" i="2"/>
  <c r="K576" i="2"/>
  <c r="O576" i="2" s="1"/>
  <c r="M576" i="2"/>
  <c r="N576" i="2" s="1"/>
  <c r="O575" i="2"/>
  <c r="L576" i="2" l="1"/>
  <c r="F580" i="2"/>
  <c r="E581" i="2"/>
  <c r="H579" i="2"/>
  <c r="I579" i="2"/>
  <c r="G579" i="2"/>
  <c r="J579" i="2" s="1"/>
  <c r="M577" i="2"/>
  <c r="N577" i="2" s="1"/>
  <c r="K577" i="2"/>
  <c r="L577" i="2" s="1"/>
  <c r="N578" i="2"/>
  <c r="K578" i="2"/>
  <c r="L578" i="2" s="1"/>
  <c r="M578" i="2"/>
  <c r="O577" i="2" l="1"/>
  <c r="O578" i="2"/>
  <c r="F581" i="2"/>
  <c r="E582" i="2"/>
  <c r="M579" i="2"/>
  <c r="K579" i="2"/>
  <c r="O579" i="2" s="1"/>
  <c r="N579" i="2"/>
  <c r="H580" i="2"/>
  <c r="I580" i="2"/>
  <c r="G580" i="2"/>
  <c r="J580" i="2" l="1"/>
  <c r="E583" i="2"/>
  <c r="F582" i="2"/>
  <c r="L579" i="2"/>
  <c r="G581" i="2"/>
  <c r="H581" i="2"/>
  <c r="I581" i="2"/>
  <c r="H582" i="2" l="1"/>
  <c r="G582" i="2"/>
  <c r="I582" i="2"/>
  <c r="J581" i="2"/>
  <c r="F583" i="2"/>
  <c r="E584" i="2"/>
  <c r="K580" i="2"/>
  <c r="L580" i="2" s="1"/>
  <c r="M580" i="2"/>
  <c r="N580" i="2"/>
  <c r="G583" i="2" l="1"/>
  <c r="J583" i="2" s="1"/>
  <c r="I583" i="2"/>
  <c r="H583" i="2"/>
  <c r="O580" i="2"/>
  <c r="F584" i="2"/>
  <c r="E585" i="2"/>
  <c r="M581" i="2"/>
  <c r="N581" i="2" s="1"/>
  <c r="K581" i="2"/>
  <c r="L581" i="2" s="1"/>
  <c r="O581" i="2" l="1"/>
  <c r="G584" i="2"/>
  <c r="H584" i="2"/>
  <c r="I584" i="2"/>
  <c r="E586" i="2"/>
  <c r="F585" i="2"/>
  <c r="K583" i="2"/>
  <c r="L583" i="2" s="1"/>
  <c r="M583" i="2"/>
  <c r="N583" i="2" s="1"/>
  <c r="H585" i="2" l="1"/>
  <c r="I585" i="2"/>
  <c r="G585" i="2"/>
  <c r="O583" i="2"/>
  <c r="E587" i="2"/>
  <c r="F586" i="2"/>
  <c r="J584" i="2"/>
  <c r="E588" i="2" l="1"/>
  <c r="F587" i="2"/>
  <c r="H586" i="2"/>
  <c r="I586" i="2"/>
  <c r="G586" i="2"/>
  <c r="J585" i="2"/>
  <c r="K584" i="2"/>
  <c r="L584" i="2" s="1"/>
  <c r="M584" i="2"/>
  <c r="N584" i="2" s="1"/>
  <c r="O584" i="2" l="1"/>
  <c r="K585" i="2"/>
  <c r="L585" i="2" s="1"/>
  <c r="M585" i="2"/>
  <c r="N585" i="2" s="1"/>
  <c r="J586" i="2"/>
  <c r="I587" i="2"/>
  <c r="G587" i="2"/>
  <c r="H587" i="2"/>
  <c r="E589" i="2"/>
  <c r="F588" i="2"/>
  <c r="E590" i="2" l="1"/>
  <c r="F589" i="2"/>
  <c r="J587" i="2"/>
  <c r="G588" i="2"/>
  <c r="H588" i="2"/>
  <c r="I588" i="2"/>
  <c r="O585" i="2"/>
  <c r="M586" i="2"/>
  <c r="N586" i="2" s="1"/>
  <c r="K586" i="2"/>
  <c r="L586" i="2" s="1"/>
  <c r="O586" i="2" l="1"/>
  <c r="J588" i="2"/>
  <c r="M587" i="2"/>
  <c r="N587" i="2" s="1"/>
  <c r="K587" i="2"/>
  <c r="L587" i="2" s="1"/>
  <c r="H589" i="2"/>
  <c r="G589" i="2"/>
  <c r="J589" i="2" s="1"/>
  <c r="I589" i="2"/>
  <c r="F590" i="2"/>
  <c r="E591" i="2"/>
  <c r="F591" i="2" l="1"/>
  <c r="E592" i="2"/>
  <c r="O587" i="2"/>
  <c r="G590" i="2"/>
  <c r="I590" i="2"/>
  <c r="H590" i="2"/>
  <c r="M588" i="2"/>
  <c r="N588" i="2" s="1"/>
  <c r="K588" i="2"/>
  <c r="L588" i="2" s="1"/>
  <c r="M589" i="2"/>
  <c r="N589" i="2" s="1"/>
  <c r="K589" i="2"/>
  <c r="L589" i="2"/>
  <c r="O588" i="2" l="1"/>
  <c r="O589" i="2"/>
  <c r="J590" i="2"/>
  <c r="F592" i="2"/>
  <c r="E593" i="2"/>
  <c r="H591" i="2"/>
  <c r="I591" i="2"/>
  <c r="G591" i="2"/>
  <c r="J591" i="2" s="1"/>
  <c r="G592" i="2" l="1"/>
  <c r="J592" i="2" s="1"/>
  <c r="H592" i="2"/>
  <c r="I592" i="2"/>
  <c r="M591" i="2"/>
  <c r="K591" i="2"/>
  <c r="L591" i="2" s="1"/>
  <c r="O591" i="2"/>
  <c r="N591" i="2"/>
  <c r="F593" i="2"/>
  <c r="E594" i="2"/>
  <c r="L590" i="2"/>
  <c r="K590" i="2"/>
  <c r="M590" i="2"/>
  <c r="N590" i="2"/>
  <c r="O590" i="2"/>
  <c r="E595" i="2" l="1"/>
  <c r="F594" i="2"/>
  <c r="H593" i="2"/>
  <c r="G593" i="2"/>
  <c r="I593" i="2"/>
  <c r="K592" i="2"/>
  <c r="L592" i="2" s="1"/>
  <c r="M592" i="2"/>
  <c r="O592" i="2" s="1"/>
  <c r="N592" i="2" l="1"/>
  <c r="J593" i="2"/>
  <c r="I594" i="2"/>
  <c r="G594" i="2"/>
  <c r="J594" i="2" s="1"/>
  <c r="H594" i="2"/>
  <c r="E596" i="2"/>
  <c r="F595" i="2"/>
  <c r="K594" i="2" l="1"/>
  <c r="O594" i="2" s="1"/>
  <c r="L594" i="2"/>
  <c r="M594" i="2"/>
  <c r="N594" i="2" s="1"/>
  <c r="G595" i="2"/>
  <c r="I595" i="2"/>
  <c r="H595" i="2"/>
  <c r="L593" i="2"/>
  <c r="M593" i="2"/>
  <c r="N593" i="2" s="1"/>
  <c r="O593" i="2"/>
  <c r="K593" i="2"/>
  <c r="F596" i="2"/>
  <c r="E597" i="2"/>
  <c r="J595" i="2" l="1"/>
  <c r="F597" i="2"/>
  <c r="E598" i="2"/>
  <c r="I596" i="2"/>
  <c r="G596" i="2"/>
  <c r="H596" i="2"/>
  <c r="J596" i="2" l="1"/>
  <c r="E599" i="2"/>
  <c r="F598" i="2"/>
  <c r="G597" i="2"/>
  <c r="H597" i="2"/>
  <c r="I597" i="2"/>
  <c r="K595" i="2"/>
  <c r="O595" i="2" s="1"/>
  <c r="M595" i="2"/>
  <c r="N595" i="2" s="1"/>
  <c r="L595" i="2" l="1"/>
  <c r="J597" i="2"/>
  <c r="I598" i="2"/>
  <c r="H598" i="2"/>
  <c r="G598" i="2"/>
  <c r="J598" i="2" s="1"/>
  <c r="E600" i="2"/>
  <c r="F599" i="2"/>
  <c r="K596" i="2"/>
  <c r="M596" i="2"/>
  <c r="N596" i="2"/>
  <c r="L596" i="2"/>
  <c r="O596" i="2"/>
  <c r="G599" i="2" l="1"/>
  <c r="J599" i="2" s="1"/>
  <c r="H599" i="2"/>
  <c r="I599" i="2"/>
  <c r="F600" i="2"/>
  <c r="E601" i="2"/>
  <c r="K597" i="2"/>
  <c r="L597" i="2" s="1"/>
  <c r="M597" i="2"/>
  <c r="O597" i="2" s="1"/>
  <c r="M598" i="2"/>
  <c r="N598" i="2" s="1"/>
  <c r="K598" i="2"/>
  <c r="O598" i="2" s="1"/>
  <c r="N597" i="2" l="1"/>
  <c r="E602" i="2"/>
  <c r="F601" i="2"/>
  <c r="L598" i="2"/>
  <c r="H600" i="2"/>
  <c r="G600" i="2"/>
  <c r="J600" i="2" s="1"/>
  <c r="I600" i="2"/>
  <c r="K599" i="2"/>
  <c r="L599" i="2" s="1"/>
  <c r="M599" i="2"/>
  <c r="O599" i="2" s="1"/>
  <c r="N599" i="2" l="1"/>
  <c r="G601" i="2"/>
  <c r="H601" i="2"/>
  <c r="I601" i="2"/>
  <c r="F602" i="2"/>
  <c r="E603" i="2"/>
  <c r="M600" i="2"/>
  <c r="N600" i="2" s="1"/>
  <c r="K600" i="2"/>
  <c r="L600" i="2" s="1"/>
  <c r="O600" i="2" l="1"/>
  <c r="G602" i="2"/>
  <c r="I602" i="2"/>
  <c r="H602" i="2"/>
  <c r="J601" i="2"/>
  <c r="F603" i="2"/>
  <c r="E604" i="2"/>
  <c r="M601" i="2" l="1"/>
  <c r="N601" i="2"/>
  <c r="K601" i="2"/>
  <c r="O601" i="2" s="1"/>
  <c r="G603" i="2"/>
  <c r="J603" i="2" s="1"/>
  <c r="H603" i="2"/>
  <c r="I603" i="2"/>
  <c r="J602" i="2"/>
  <c r="E605" i="2"/>
  <c r="F604" i="2"/>
  <c r="G604" i="2" l="1"/>
  <c r="I604" i="2"/>
  <c r="H604" i="2"/>
  <c r="K602" i="2"/>
  <c r="L602" i="2" s="1"/>
  <c r="M602" i="2"/>
  <c r="N602" i="2" s="1"/>
  <c r="E606" i="2"/>
  <c r="F605" i="2"/>
  <c r="L601" i="2"/>
  <c r="K603" i="2"/>
  <c r="L603" i="2" s="1"/>
  <c r="M603" i="2"/>
  <c r="N603" i="2"/>
  <c r="H605" i="2" l="1"/>
  <c r="G605" i="2"/>
  <c r="I605" i="2"/>
  <c r="O602" i="2"/>
  <c r="E607" i="2"/>
  <c r="F606" i="2"/>
  <c r="O603" i="2"/>
  <c r="J604" i="2"/>
  <c r="E608" i="2" l="1"/>
  <c r="F607" i="2"/>
  <c r="K604" i="2"/>
  <c r="L604" i="2" s="1"/>
  <c r="M604" i="2"/>
  <c r="N604" i="2" s="1"/>
  <c r="I606" i="2"/>
  <c r="H606" i="2"/>
  <c r="G606" i="2"/>
  <c r="J605" i="2"/>
  <c r="K605" i="2" l="1"/>
  <c r="L605" i="2" s="1"/>
  <c r="M605" i="2"/>
  <c r="N605" i="2"/>
  <c r="O604" i="2"/>
  <c r="J606" i="2"/>
  <c r="I607" i="2"/>
  <c r="H607" i="2"/>
  <c r="G607" i="2"/>
  <c r="J607" i="2" s="1"/>
  <c r="E609" i="2"/>
  <c r="F608" i="2"/>
  <c r="H608" i="2" l="1"/>
  <c r="I608" i="2"/>
  <c r="G608" i="2"/>
  <c r="J608" i="2" s="1"/>
  <c r="M607" i="2"/>
  <c r="K607" i="2"/>
  <c r="O607" i="2" s="1"/>
  <c r="N607" i="2"/>
  <c r="M606" i="2"/>
  <c r="N606" i="2" s="1"/>
  <c r="K606" i="2"/>
  <c r="O606" i="2" s="1"/>
  <c r="L606" i="2"/>
  <c r="F609" i="2"/>
  <c r="E610" i="2"/>
  <c r="O605" i="2"/>
  <c r="L607" i="2" l="1"/>
  <c r="K608" i="2"/>
  <c r="L608" i="2"/>
  <c r="M608" i="2"/>
  <c r="O608" i="2" s="1"/>
  <c r="E611" i="2"/>
  <c r="F610" i="2"/>
  <c r="G609" i="2"/>
  <c r="H609" i="2"/>
  <c r="I609" i="2"/>
  <c r="F611" i="2" l="1"/>
  <c r="E612" i="2"/>
  <c r="N608" i="2"/>
  <c r="H610" i="2"/>
  <c r="I610" i="2"/>
  <c r="G610" i="2"/>
  <c r="J610" i="2" s="1"/>
  <c r="J609" i="2"/>
  <c r="K609" i="2" l="1"/>
  <c r="L609" i="2" s="1"/>
  <c r="M609" i="2"/>
  <c r="N609" i="2" s="1"/>
  <c r="M610" i="2"/>
  <c r="K610" i="2"/>
  <c r="L610" i="2" s="1"/>
  <c r="N610" i="2"/>
  <c r="F612" i="2"/>
  <c r="E613" i="2"/>
  <c r="G611" i="2"/>
  <c r="J611" i="2" s="1"/>
  <c r="H611" i="2"/>
  <c r="I611" i="2"/>
  <c r="G612" i="2" l="1"/>
  <c r="J612" i="2" s="1"/>
  <c r="H612" i="2"/>
  <c r="I612" i="2"/>
  <c r="O610" i="2"/>
  <c r="E614" i="2"/>
  <c r="F613" i="2"/>
  <c r="O609" i="2"/>
  <c r="N611" i="2"/>
  <c r="K611" i="2"/>
  <c r="M611" i="2"/>
  <c r="L611" i="2"/>
  <c r="O611" i="2"/>
  <c r="E615" i="2" l="1"/>
  <c r="F614" i="2"/>
  <c r="G613" i="2"/>
  <c r="I613" i="2"/>
  <c r="H613" i="2"/>
  <c r="M612" i="2"/>
  <c r="K612" i="2"/>
  <c r="L612" i="2" s="1"/>
  <c r="N612" i="2"/>
  <c r="O612" i="2" l="1"/>
  <c r="J613" i="2"/>
  <c r="H614" i="2"/>
  <c r="I614" i="2"/>
  <c r="G614" i="2"/>
  <c r="J614" i="2" s="1"/>
  <c r="F615" i="2"/>
  <c r="E616" i="2"/>
  <c r="K614" i="2" l="1"/>
  <c r="N614" i="2"/>
  <c r="L614" i="2"/>
  <c r="M614" i="2"/>
  <c r="O614" i="2"/>
  <c r="G615" i="2"/>
  <c r="H615" i="2"/>
  <c r="I615" i="2"/>
  <c r="M613" i="2"/>
  <c r="N613" i="2" s="1"/>
  <c r="K613" i="2"/>
  <c r="L613" i="2" s="1"/>
  <c r="F616" i="2"/>
  <c r="E617" i="2"/>
  <c r="O613" i="2" l="1"/>
  <c r="J615" i="2"/>
  <c r="F617" i="2"/>
  <c r="E618" i="2"/>
  <c r="G616" i="2"/>
  <c r="H616" i="2"/>
  <c r="I616" i="2"/>
  <c r="E619" i="2" l="1"/>
  <c r="F618" i="2"/>
  <c r="J616" i="2"/>
  <c r="H617" i="2"/>
  <c r="I617" i="2"/>
  <c r="G617" i="2"/>
  <c r="K615" i="2"/>
  <c r="O615" i="2" s="1"/>
  <c r="M615" i="2"/>
  <c r="N615" i="2" s="1"/>
  <c r="J617" i="2" l="1"/>
  <c r="L615" i="2"/>
  <c r="K616" i="2"/>
  <c r="L616" i="2" s="1"/>
  <c r="M616" i="2"/>
  <c r="N616" i="2" s="1"/>
  <c r="O616" i="2"/>
  <c r="I618" i="2"/>
  <c r="G618" i="2"/>
  <c r="H618" i="2"/>
  <c r="F619" i="2"/>
  <c r="E620" i="2"/>
  <c r="G619" i="2" l="1"/>
  <c r="J619" i="2" s="1"/>
  <c r="I619" i="2"/>
  <c r="H619" i="2"/>
  <c r="J618" i="2"/>
  <c r="E621" i="2"/>
  <c r="F620" i="2"/>
  <c r="K617" i="2"/>
  <c r="M617" i="2"/>
  <c r="N617" i="2" s="1"/>
  <c r="O617" i="2"/>
  <c r="L617" i="2"/>
  <c r="F621" i="2" l="1"/>
  <c r="E622" i="2"/>
  <c r="H620" i="2"/>
  <c r="G620" i="2"/>
  <c r="I620" i="2"/>
  <c r="M618" i="2"/>
  <c r="K618" i="2"/>
  <c r="L618" i="2" s="1"/>
  <c r="N618" i="2"/>
  <c r="N619" i="2"/>
  <c r="K619" i="2"/>
  <c r="L619" i="2" s="1"/>
  <c r="M619" i="2"/>
  <c r="O618" i="2" l="1"/>
  <c r="J620" i="2"/>
  <c r="O619" i="2"/>
  <c r="E623" i="2"/>
  <c r="F622" i="2"/>
  <c r="G621" i="2"/>
  <c r="H621" i="2"/>
  <c r="I621" i="2"/>
  <c r="F623" i="2" l="1"/>
  <c r="E624" i="2"/>
  <c r="G622" i="2"/>
  <c r="H622" i="2"/>
  <c r="I622" i="2"/>
  <c r="K620" i="2"/>
  <c r="L620" i="2" s="1"/>
  <c r="M620" i="2"/>
  <c r="N620" i="2" s="1"/>
  <c r="O620" i="2"/>
  <c r="J621" i="2"/>
  <c r="L621" i="2" l="1"/>
  <c r="M621" i="2"/>
  <c r="K621" i="2"/>
  <c r="N621" i="2"/>
  <c r="O621" i="2"/>
  <c r="J622" i="2"/>
  <c r="E625" i="2"/>
  <c r="F624" i="2"/>
  <c r="I623" i="2"/>
  <c r="G623" i="2"/>
  <c r="H623" i="2"/>
  <c r="J623" i="2" l="1"/>
  <c r="E626" i="2"/>
  <c r="F625" i="2"/>
  <c r="G624" i="2"/>
  <c r="I624" i="2"/>
  <c r="H624" i="2"/>
  <c r="M622" i="2"/>
  <c r="K622" i="2"/>
  <c r="O622" i="2" s="1"/>
  <c r="N622" i="2"/>
  <c r="L622" i="2" l="1"/>
  <c r="I625" i="2"/>
  <c r="G625" i="2"/>
  <c r="H625" i="2"/>
  <c r="J624" i="2"/>
  <c r="E627" i="2"/>
  <c r="F626" i="2"/>
  <c r="K623" i="2"/>
  <c r="M623" i="2"/>
  <c r="N623" i="2" s="1"/>
  <c r="L623" i="2"/>
  <c r="O623" i="2" l="1"/>
  <c r="I626" i="2"/>
  <c r="H626" i="2"/>
  <c r="G626" i="2"/>
  <c r="J626" i="2" s="1"/>
  <c r="F627" i="2"/>
  <c r="E628" i="2"/>
  <c r="J625" i="2"/>
  <c r="K624" i="2"/>
  <c r="L624" i="2" s="1"/>
  <c r="M624" i="2"/>
  <c r="N624" i="2" s="1"/>
  <c r="O624" i="2" l="1"/>
  <c r="G627" i="2"/>
  <c r="H627" i="2"/>
  <c r="I627" i="2"/>
  <c r="M625" i="2"/>
  <c r="N625" i="2" s="1"/>
  <c r="K625" i="2"/>
  <c r="O625" i="2" s="1"/>
  <c r="K626" i="2"/>
  <c r="O626" i="2" s="1"/>
  <c r="M626" i="2"/>
  <c r="N626" i="2" s="1"/>
  <c r="F628" i="2"/>
  <c r="E629" i="2"/>
  <c r="L626" i="2" l="1"/>
  <c r="L625" i="2"/>
  <c r="F629" i="2"/>
  <c r="E630" i="2"/>
  <c r="G628" i="2"/>
  <c r="H628" i="2"/>
  <c r="I628" i="2"/>
  <c r="J627" i="2"/>
  <c r="E631" i="2" l="1"/>
  <c r="F630" i="2"/>
  <c r="M627" i="2"/>
  <c r="K627" i="2"/>
  <c r="O627" i="2" s="1"/>
  <c r="N627" i="2"/>
  <c r="J628" i="2"/>
  <c r="H629" i="2"/>
  <c r="I629" i="2"/>
  <c r="G629" i="2"/>
  <c r="J629" i="2" s="1"/>
  <c r="M628" i="2" l="1"/>
  <c r="N628" i="2" s="1"/>
  <c r="K628" i="2"/>
  <c r="O628" i="2" s="1"/>
  <c r="L628" i="2"/>
  <c r="L627" i="2"/>
  <c r="I630" i="2"/>
  <c r="G630" i="2"/>
  <c r="H630" i="2"/>
  <c r="K629" i="2"/>
  <c r="L629" i="2" s="1"/>
  <c r="M629" i="2"/>
  <c r="N629" i="2" s="1"/>
  <c r="F631" i="2"/>
  <c r="E632" i="2"/>
  <c r="J630" i="2" l="1"/>
  <c r="H631" i="2"/>
  <c r="I631" i="2"/>
  <c r="G631" i="2"/>
  <c r="O629" i="2"/>
  <c r="E633" i="2"/>
  <c r="F632" i="2"/>
  <c r="G632" i="2" l="1"/>
  <c r="J632" i="2" s="1"/>
  <c r="H632" i="2"/>
  <c r="I632" i="2"/>
  <c r="F633" i="2"/>
  <c r="E634" i="2"/>
  <c r="J631" i="2"/>
  <c r="K630" i="2"/>
  <c r="L630" i="2"/>
  <c r="M630" i="2"/>
  <c r="N630" i="2"/>
  <c r="O630" i="2"/>
  <c r="M631" i="2" l="1"/>
  <c r="N631" i="2" s="1"/>
  <c r="K631" i="2"/>
  <c r="L631" i="2" s="1"/>
  <c r="G633" i="2"/>
  <c r="H633" i="2"/>
  <c r="I633" i="2"/>
  <c r="F634" i="2"/>
  <c r="E635" i="2"/>
  <c r="K632" i="2"/>
  <c r="L632" i="2" s="1"/>
  <c r="M632" i="2"/>
  <c r="N632" i="2"/>
  <c r="O632" i="2" l="1"/>
  <c r="E636" i="2"/>
  <c r="F635" i="2"/>
  <c r="J633" i="2"/>
  <c r="O631" i="2"/>
  <c r="G634" i="2"/>
  <c r="I634" i="2"/>
  <c r="H634" i="2"/>
  <c r="H635" i="2" l="1"/>
  <c r="I635" i="2"/>
  <c r="G635" i="2"/>
  <c r="J635" i="2" s="1"/>
  <c r="J634" i="2"/>
  <c r="K633" i="2"/>
  <c r="L633" i="2" s="1"/>
  <c r="M633" i="2"/>
  <c r="N633" i="2" s="1"/>
  <c r="F636" i="2"/>
  <c r="E637" i="2"/>
  <c r="H636" i="2" l="1"/>
  <c r="G636" i="2"/>
  <c r="I636" i="2"/>
  <c r="M635" i="2"/>
  <c r="N635" i="2" s="1"/>
  <c r="K635" i="2"/>
  <c r="L635" i="2" s="1"/>
  <c r="O633" i="2"/>
  <c r="M634" i="2"/>
  <c r="N634" i="2" s="1"/>
  <c r="K634" i="2"/>
  <c r="L634" i="2" s="1"/>
  <c r="E638" i="2"/>
  <c r="F637" i="2"/>
  <c r="O634" i="2" l="1"/>
  <c r="I637" i="2"/>
  <c r="G637" i="2"/>
  <c r="H637" i="2"/>
  <c r="F638" i="2"/>
  <c r="E639" i="2"/>
  <c r="J636" i="2"/>
  <c r="O635" i="2"/>
  <c r="K636" i="2" l="1"/>
  <c r="O636" i="2" s="1"/>
  <c r="L636" i="2"/>
  <c r="M636" i="2"/>
  <c r="N636" i="2" s="1"/>
  <c r="H638" i="2"/>
  <c r="I638" i="2"/>
  <c r="G638" i="2"/>
  <c r="J637" i="2"/>
  <c r="F639" i="2"/>
  <c r="E640" i="2"/>
  <c r="M637" i="2" l="1"/>
  <c r="N637" i="2" s="1"/>
  <c r="K637" i="2"/>
  <c r="L637" i="2" s="1"/>
  <c r="J638" i="2"/>
  <c r="F640" i="2"/>
  <c r="E641" i="2"/>
  <c r="H639" i="2"/>
  <c r="G639" i="2"/>
  <c r="I639" i="2"/>
  <c r="J639" i="2" l="1"/>
  <c r="G640" i="2"/>
  <c r="I640" i="2"/>
  <c r="H640" i="2"/>
  <c r="E642" i="2"/>
  <c r="F641" i="2"/>
  <c r="M638" i="2"/>
  <c r="N638" i="2" s="1"/>
  <c r="K638" i="2"/>
  <c r="L638" i="2" s="1"/>
  <c r="O637" i="2"/>
  <c r="O638" i="2" l="1"/>
  <c r="H641" i="2"/>
  <c r="G641" i="2"/>
  <c r="I641" i="2"/>
  <c r="E643" i="2"/>
  <c r="F642" i="2"/>
  <c r="J640" i="2"/>
  <c r="K639" i="2"/>
  <c r="L639" i="2" s="1"/>
  <c r="M639" i="2"/>
  <c r="N639" i="2" s="1"/>
  <c r="O639" i="2" l="1"/>
  <c r="I642" i="2"/>
  <c r="G642" i="2"/>
  <c r="H642" i="2"/>
  <c r="J641" i="2"/>
  <c r="F643" i="2"/>
  <c r="E644" i="2"/>
  <c r="K640" i="2"/>
  <c r="L640" i="2" s="1"/>
  <c r="M640" i="2"/>
  <c r="N640" i="2" s="1"/>
  <c r="O640" i="2" l="1"/>
  <c r="I643" i="2"/>
  <c r="H643" i="2"/>
  <c r="G643" i="2"/>
  <c r="J643" i="2" s="1"/>
  <c r="M641" i="2"/>
  <c r="L641" i="2"/>
  <c r="N641" i="2"/>
  <c r="O641" i="2"/>
  <c r="K641" i="2"/>
  <c r="J642" i="2"/>
  <c r="E645" i="2"/>
  <c r="F644" i="2"/>
  <c r="E646" i="2" l="1"/>
  <c r="F645" i="2"/>
  <c r="M643" i="2"/>
  <c r="N643" i="2" s="1"/>
  <c r="K643" i="2"/>
  <c r="L643" i="2" s="1"/>
  <c r="O643" i="2"/>
  <c r="G644" i="2"/>
  <c r="H644" i="2"/>
  <c r="I644" i="2"/>
  <c r="K642" i="2"/>
  <c r="L642" i="2" s="1"/>
  <c r="M642" i="2"/>
  <c r="N642" i="2" s="1"/>
  <c r="O642" i="2" l="1"/>
  <c r="J644" i="2"/>
  <c r="G645" i="2"/>
  <c r="H645" i="2"/>
  <c r="I645" i="2"/>
  <c r="F646" i="2"/>
  <c r="E647" i="2"/>
  <c r="I646" i="2" l="1"/>
  <c r="G646" i="2"/>
  <c r="H646" i="2"/>
  <c r="J645" i="2"/>
  <c r="K644" i="2"/>
  <c r="O644" i="2" s="1"/>
  <c r="M644" i="2"/>
  <c r="N644" i="2" s="1"/>
  <c r="F647" i="2"/>
  <c r="E648" i="2"/>
  <c r="F648" i="2" l="1"/>
  <c r="E649" i="2"/>
  <c r="L644" i="2"/>
  <c r="G647" i="2"/>
  <c r="H647" i="2"/>
  <c r="I647" i="2"/>
  <c r="K645" i="2"/>
  <c r="L645" i="2" s="1"/>
  <c r="M645" i="2"/>
  <c r="N645" i="2" s="1"/>
  <c r="J646" i="2"/>
  <c r="O645" i="2" l="1"/>
  <c r="J647" i="2"/>
  <c r="E650" i="2"/>
  <c r="F649" i="2"/>
  <c r="M646" i="2"/>
  <c r="N646" i="2" s="1"/>
  <c r="K646" i="2"/>
  <c r="L646" i="2"/>
  <c r="I648" i="2"/>
  <c r="G648" i="2"/>
  <c r="J648" i="2" s="1"/>
  <c r="H648" i="2"/>
  <c r="O646" i="2" l="1"/>
  <c r="G649" i="2"/>
  <c r="J649" i="2" s="1"/>
  <c r="I649" i="2"/>
  <c r="H649" i="2"/>
  <c r="M647" i="2"/>
  <c r="N647" i="2" s="1"/>
  <c r="K647" i="2"/>
  <c r="L647" i="2" s="1"/>
  <c r="K648" i="2"/>
  <c r="L648" i="2" s="1"/>
  <c r="M648" i="2"/>
  <c r="N648" i="2" s="1"/>
  <c r="F650" i="2"/>
  <c r="E651" i="2"/>
  <c r="O648" i="2" l="1"/>
  <c r="O647" i="2"/>
  <c r="F651" i="2"/>
  <c r="E652" i="2"/>
  <c r="H650" i="2"/>
  <c r="G650" i="2"/>
  <c r="I650" i="2"/>
  <c r="K649" i="2"/>
  <c r="L649" i="2"/>
  <c r="M649" i="2"/>
  <c r="N649" i="2" s="1"/>
  <c r="O649" i="2" l="1"/>
  <c r="E653" i="2"/>
  <c r="F652" i="2"/>
  <c r="J650" i="2"/>
  <c r="G651" i="2"/>
  <c r="H651" i="2"/>
  <c r="I651" i="2"/>
  <c r="M650" i="2" l="1"/>
  <c r="N650" i="2" s="1"/>
  <c r="K650" i="2"/>
  <c r="L650" i="2"/>
  <c r="J651" i="2"/>
  <c r="G652" i="2"/>
  <c r="H652" i="2"/>
  <c r="I652" i="2"/>
  <c r="F653" i="2"/>
  <c r="E654" i="2"/>
  <c r="H653" i="2" l="1"/>
  <c r="G653" i="2"/>
  <c r="J653" i="2" s="1"/>
  <c r="I653" i="2"/>
  <c r="E655" i="2"/>
  <c r="F654" i="2"/>
  <c r="K651" i="2"/>
  <c r="O651" i="2" s="1"/>
  <c r="M651" i="2"/>
  <c r="N651" i="2" s="1"/>
  <c r="J652" i="2"/>
  <c r="O650" i="2"/>
  <c r="K652" i="2" l="1"/>
  <c r="L652" i="2" s="1"/>
  <c r="M652" i="2"/>
  <c r="N652" i="2"/>
  <c r="I654" i="2"/>
  <c r="H654" i="2"/>
  <c r="G654" i="2"/>
  <c r="L651" i="2"/>
  <c r="E656" i="2"/>
  <c r="F655" i="2"/>
  <c r="K653" i="2"/>
  <c r="O653" i="2" s="1"/>
  <c r="M653" i="2"/>
  <c r="N653" i="2" s="1"/>
  <c r="E657" i="2" l="1"/>
  <c r="F656" i="2"/>
  <c r="H655" i="2"/>
  <c r="I655" i="2"/>
  <c r="G655" i="2"/>
  <c r="J655" i="2" s="1"/>
  <c r="J654" i="2"/>
  <c r="O652" i="2"/>
  <c r="L653" i="2"/>
  <c r="L654" i="2" l="1"/>
  <c r="O654" i="2"/>
  <c r="K654" i="2"/>
  <c r="M654" i="2"/>
  <c r="N654" i="2" s="1"/>
  <c r="H656" i="2"/>
  <c r="G656" i="2"/>
  <c r="J656" i="2" s="1"/>
  <c r="I656" i="2"/>
  <c r="K655" i="2"/>
  <c r="L655" i="2"/>
  <c r="M655" i="2"/>
  <c r="N655" i="2"/>
  <c r="O655" i="2"/>
  <c r="E658" i="2"/>
  <c r="F657" i="2"/>
  <c r="E659" i="2" l="1"/>
  <c r="F658" i="2"/>
  <c r="K656" i="2"/>
  <c r="M656" i="2"/>
  <c r="N656" i="2"/>
  <c r="L656" i="2"/>
  <c r="O656" i="2"/>
  <c r="I657" i="2"/>
  <c r="G657" i="2"/>
  <c r="H657" i="2"/>
  <c r="J657" i="2" l="1"/>
  <c r="I658" i="2"/>
  <c r="G658" i="2"/>
  <c r="H658" i="2"/>
  <c r="F659" i="2"/>
  <c r="E660" i="2"/>
  <c r="F660" i="2" l="1"/>
  <c r="E661" i="2"/>
  <c r="G659" i="2"/>
  <c r="H659" i="2"/>
  <c r="I659" i="2"/>
  <c r="J658" i="2"/>
  <c r="L657" i="2"/>
  <c r="O657" i="2"/>
  <c r="M657" i="2"/>
  <c r="K657" i="2"/>
  <c r="N657" i="2"/>
  <c r="M658" i="2" l="1"/>
  <c r="N658" i="2" s="1"/>
  <c r="K658" i="2"/>
  <c r="L658" i="2" s="1"/>
  <c r="J659" i="2"/>
  <c r="E662" i="2"/>
  <c r="F661" i="2"/>
  <c r="H660" i="2"/>
  <c r="I660" i="2"/>
  <c r="G660" i="2"/>
  <c r="J660" i="2" s="1"/>
  <c r="O660" i="2" l="1"/>
  <c r="K660" i="2"/>
  <c r="L660" i="2" s="1"/>
  <c r="M660" i="2"/>
  <c r="N660" i="2"/>
  <c r="F662" i="2"/>
  <c r="E663" i="2"/>
  <c r="M659" i="2"/>
  <c r="N659" i="2" s="1"/>
  <c r="K659" i="2"/>
  <c r="O659" i="2" s="1"/>
  <c r="O658" i="2"/>
  <c r="H661" i="2"/>
  <c r="I661" i="2"/>
  <c r="G661" i="2"/>
  <c r="J661" i="2" s="1"/>
  <c r="L659" i="2" l="1"/>
  <c r="H662" i="2"/>
  <c r="I662" i="2"/>
  <c r="G662" i="2"/>
  <c r="J662" i="2" s="1"/>
  <c r="K661" i="2"/>
  <c r="M661" i="2"/>
  <c r="N661" i="2" s="1"/>
  <c r="O661" i="2"/>
  <c r="L661" i="2"/>
  <c r="F663" i="2"/>
  <c r="E664" i="2"/>
  <c r="E665" i="2" l="1"/>
  <c r="F664" i="2"/>
  <c r="G663" i="2"/>
  <c r="H663" i="2"/>
  <c r="I663" i="2"/>
  <c r="M662" i="2"/>
  <c r="N662" i="2" s="1"/>
  <c r="K662" i="2"/>
  <c r="L662" i="2" s="1"/>
  <c r="O662" i="2" l="1"/>
  <c r="J663" i="2"/>
  <c r="G664" i="2"/>
  <c r="H664" i="2"/>
  <c r="I664" i="2"/>
  <c r="F665" i="2"/>
  <c r="E666" i="2"/>
  <c r="H665" i="2" l="1"/>
  <c r="I665" i="2"/>
  <c r="G665" i="2"/>
  <c r="E667" i="2"/>
  <c r="F666" i="2"/>
  <c r="K663" i="2"/>
  <c r="L663" i="2" s="1"/>
  <c r="M663" i="2"/>
  <c r="N663" i="2" s="1"/>
  <c r="J664" i="2"/>
  <c r="O663" i="2" l="1"/>
  <c r="J665" i="2"/>
  <c r="E668" i="2"/>
  <c r="F667" i="2"/>
  <c r="K664" i="2"/>
  <c r="M664" i="2"/>
  <c r="N664" i="2" s="1"/>
  <c r="O664" i="2"/>
  <c r="L664" i="2"/>
  <c r="I666" i="2"/>
  <c r="G666" i="2"/>
  <c r="J666" i="2" s="1"/>
  <c r="H666" i="2"/>
  <c r="L666" i="2" l="1"/>
  <c r="M666" i="2"/>
  <c r="N666" i="2"/>
  <c r="K666" i="2"/>
  <c r="O666" i="2" s="1"/>
  <c r="M665" i="2"/>
  <c r="K665" i="2"/>
  <c r="O665" i="2" s="1"/>
  <c r="N665" i="2"/>
  <c r="I667" i="2"/>
  <c r="H667" i="2"/>
  <c r="G667" i="2"/>
  <c r="F668" i="2"/>
  <c r="E669" i="2"/>
  <c r="L665" i="2" l="1"/>
  <c r="F669" i="2"/>
  <c r="E670" i="2"/>
  <c r="G668" i="2"/>
  <c r="H668" i="2"/>
  <c r="I668" i="2"/>
  <c r="J667" i="2"/>
  <c r="J668" i="2" l="1"/>
  <c r="K667" i="2"/>
  <c r="L667" i="2" s="1"/>
  <c r="M667" i="2"/>
  <c r="N667" i="2" s="1"/>
  <c r="E671" i="2"/>
  <c r="F670" i="2"/>
  <c r="G669" i="2"/>
  <c r="J669" i="2" s="1"/>
  <c r="H669" i="2"/>
  <c r="I669" i="2"/>
  <c r="N669" i="2" l="1"/>
  <c r="K669" i="2"/>
  <c r="L669" i="2" s="1"/>
  <c r="M669" i="2"/>
  <c r="H670" i="2"/>
  <c r="I670" i="2"/>
  <c r="G670" i="2"/>
  <c r="J670" i="2" s="1"/>
  <c r="O667" i="2"/>
  <c r="F671" i="2"/>
  <c r="E672" i="2"/>
  <c r="K668" i="2"/>
  <c r="L668" i="2" s="1"/>
  <c r="M668" i="2"/>
  <c r="N668" i="2" s="1"/>
  <c r="G671" i="2" l="1"/>
  <c r="J671" i="2" s="1"/>
  <c r="H671" i="2"/>
  <c r="I671" i="2"/>
  <c r="M670" i="2"/>
  <c r="K670" i="2"/>
  <c r="O670" i="2" s="1"/>
  <c r="N670" i="2"/>
  <c r="F672" i="2"/>
  <c r="E673" i="2"/>
  <c r="O668" i="2"/>
  <c r="O669" i="2"/>
  <c r="N671" i="2" l="1"/>
  <c r="L671" i="2"/>
  <c r="K671" i="2"/>
  <c r="M671" i="2"/>
  <c r="O671" i="2"/>
  <c r="E674" i="2"/>
  <c r="F673" i="2"/>
  <c r="G672" i="2"/>
  <c r="H672" i="2"/>
  <c r="I672" i="2"/>
  <c r="L670" i="2"/>
  <c r="J672" i="2" l="1"/>
  <c r="E675" i="2"/>
  <c r="F674" i="2"/>
  <c r="I673" i="2"/>
  <c r="G673" i="2"/>
  <c r="H673" i="2"/>
  <c r="O672" i="2" l="1"/>
  <c r="K672" i="2"/>
  <c r="L672" i="2" s="1"/>
  <c r="M672" i="2"/>
  <c r="N672" i="2"/>
  <c r="J673" i="2"/>
  <c r="G674" i="2"/>
  <c r="H674" i="2"/>
  <c r="I674" i="2"/>
  <c r="F675" i="2"/>
  <c r="E676" i="2"/>
  <c r="E677" i="2" l="1"/>
  <c r="F676" i="2"/>
  <c r="G675" i="2"/>
  <c r="H675" i="2"/>
  <c r="I675" i="2"/>
  <c r="J674" i="2"/>
  <c r="K673" i="2"/>
  <c r="L673" i="2"/>
  <c r="M673" i="2"/>
  <c r="N673" i="2" s="1"/>
  <c r="E678" i="2" l="1"/>
  <c r="F677" i="2"/>
  <c r="O673" i="2"/>
  <c r="K674" i="2"/>
  <c r="L674" i="2"/>
  <c r="M674" i="2"/>
  <c r="O674" i="2" s="1"/>
  <c r="N674" i="2"/>
  <c r="J675" i="2"/>
  <c r="G676" i="2"/>
  <c r="I676" i="2"/>
  <c r="H676" i="2"/>
  <c r="M675" i="2" l="1"/>
  <c r="N675" i="2" s="1"/>
  <c r="K675" i="2"/>
  <c r="L675" i="2"/>
  <c r="J676" i="2"/>
  <c r="H677" i="2"/>
  <c r="G677" i="2"/>
  <c r="I677" i="2"/>
  <c r="F678" i="2"/>
  <c r="E679" i="2"/>
  <c r="I678" i="2" l="1"/>
  <c r="G678" i="2"/>
  <c r="J678" i="2" s="1"/>
  <c r="H678" i="2"/>
  <c r="O675" i="2"/>
  <c r="F679" i="2"/>
  <c r="E680" i="2"/>
  <c r="J677" i="2"/>
  <c r="M676" i="2"/>
  <c r="N676" i="2" s="1"/>
  <c r="K676" i="2"/>
  <c r="O676" i="2" s="1"/>
  <c r="M677" i="2" l="1"/>
  <c r="N677" i="2"/>
  <c r="K677" i="2"/>
  <c r="L677" i="2" s="1"/>
  <c r="L676" i="2"/>
  <c r="F680" i="2"/>
  <c r="E681" i="2"/>
  <c r="H679" i="2"/>
  <c r="I679" i="2"/>
  <c r="G679" i="2"/>
  <c r="N678" i="2"/>
  <c r="K678" i="2"/>
  <c r="O678" i="2" s="1"/>
  <c r="L678" i="2"/>
  <c r="M678" i="2"/>
  <c r="F681" i="2" l="1"/>
  <c r="E682" i="2"/>
  <c r="J679" i="2"/>
  <c r="G680" i="2"/>
  <c r="H680" i="2"/>
  <c r="I680" i="2"/>
  <c r="O677" i="2"/>
  <c r="J680" i="2" l="1"/>
  <c r="K679" i="2"/>
  <c r="L679" i="2" s="1"/>
  <c r="M679" i="2"/>
  <c r="N679" i="2" s="1"/>
  <c r="E683" i="2"/>
  <c r="F682" i="2"/>
  <c r="G681" i="2"/>
  <c r="H681" i="2"/>
  <c r="I681" i="2"/>
  <c r="J681" i="2" l="1"/>
  <c r="I682" i="2"/>
  <c r="G682" i="2"/>
  <c r="H682" i="2"/>
  <c r="E684" i="2"/>
  <c r="F683" i="2"/>
  <c r="O679" i="2"/>
  <c r="K680" i="2"/>
  <c r="L680" i="2" s="1"/>
  <c r="M680" i="2"/>
  <c r="N680" i="2" s="1"/>
  <c r="G683" i="2" l="1"/>
  <c r="H683" i="2"/>
  <c r="I683" i="2"/>
  <c r="O680" i="2"/>
  <c r="F684" i="2"/>
  <c r="E685" i="2"/>
  <c r="J682" i="2"/>
  <c r="L681" i="2"/>
  <c r="M681" i="2"/>
  <c r="N681" i="2"/>
  <c r="K681" i="2"/>
  <c r="O681" i="2"/>
  <c r="E686" i="2" l="1"/>
  <c r="F685" i="2"/>
  <c r="M682" i="2"/>
  <c r="N682" i="2"/>
  <c r="K682" i="2"/>
  <c r="O682" i="2" s="1"/>
  <c r="G684" i="2"/>
  <c r="H684" i="2"/>
  <c r="I684" i="2"/>
  <c r="J683" i="2"/>
  <c r="L682" i="2" l="1"/>
  <c r="N683" i="2"/>
  <c r="K683" i="2"/>
  <c r="L683" i="2"/>
  <c r="M683" i="2"/>
  <c r="O683" i="2"/>
  <c r="J684" i="2"/>
  <c r="H685" i="2"/>
  <c r="I685" i="2"/>
  <c r="G685" i="2"/>
  <c r="J685" i="2" s="1"/>
  <c r="E687" i="2"/>
  <c r="F686" i="2"/>
  <c r="F687" i="2" l="1"/>
  <c r="E688" i="2"/>
  <c r="H686" i="2"/>
  <c r="G686" i="2"/>
  <c r="I686" i="2"/>
  <c r="O685" i="2"/>
  <c r="M685" i="2"/>
  <c r="N685" i="2"/>
  <c r="K685" i="2"/>
  <c r="L685" i="2"/>
  <c r="K684" i="2"/>
  <c r="O684" i="2" s="1"/>
  <c r="N684" i="2"/>
  <c r="M684" i="2"/>
  <c r="L684" i="2" l="1"/>
  <c r="J686" i="2"/>
  <c r="F688" i="2"/>
  <c r="E689" i="2"/>
  <c r="I687" i="2"/>
  <c r="G687" i="2"/>
  <c r="H687" i="2"/>
  <c r="E690" i="2" l="1"/>
  <c r="F689" i="2"/>
  <c r="J687" i="2"/>
  <c r="G688" i="2"/>
  <c r="H688" i="2"/>
  <c r="I688" i="2"/>
  <c r="K686" i="2"/>
  <c r="L686" i="2" s="1"/>
  <c r="M686" i="2"/>
  <c r="N686" i="2" s="1"/>
  <c r="O686" i="2"/>
  <c r="J688" i="2" l="1"/>
  <c r="L687" i="2"/>
  <c r="M687" i="2"/>
  <c r="N687" i="2" s="1"/>
  <c r="K687" i="2"/>
  <c r="O687" i="2" s="1"/>
  <c r="H689" i="2"/>
  <c r="G689" i="2"/>
  <c r="I689" i="2"/>
  <c r="F690" i="2"/>
  <c r="E691" i="2"/>
  <c r="E692" i="2" l="1"/>
  <c r="F691" i="2"/>
  <c r="I690" i="2"/>
  <c r="H690" i="2"/>
  <c r="G690" i="2"/>
  <c r="J689" i="2"/>
  <c r="M688" i="2"/>
  <c r="N688" i="2" s="1"/>
  <c r="K688" i="2"/>
  <c r="L688" i="2" s="1"/>
  <c r="O688" i="2" l="1"/>
  <c r="L689" i="2"/>
  <c r="M689" i="2"/>
  <c r="N689" i="2" s="1"/>
  <c r="K689" i="2"/>
  <c r="O689" i="2" s="1"/>
  <c r="J690" i="2"/>
  <c r="G691" i="2"/>
  <c r="H691" i="2"/>
  <c r="I691" i="2"/>
  <c r="E693" i="2"/>
  <c r="F692" i="2"/>
  <c r="I692" i="2" l="1"/>
  <c r="G692" i="2"/>
  <c r="H692" i="2"/>
  <c r="F693" i="2"/>
  <c r="E694" i="2"/>
  <c r="J691" i="2"/>
  <c r="K690" i="2"/>
  <c r="L690" i="2" s="1"/>
  <c r="M690" i="2"/>
  <c r="N690" i="2" s="1"/>
  <c r="O690" i="2" l="1"/>
  <c r="M691" i="2"/>
  <c r="N691" i="2" s="1"/>
  <c r="K691" i="2"/>
  <c r="L691" i="2" s="1"/>
  <c r="E695" i="2"/>
  <c r="F694" i="2"/>
  <c r="I693" i="2"/>
  <c r="G693" i="2"/>
  <c r="J693" i="2" s="1"/>
  <c r="H693" i="2"/>
  <c r="J692" i="2"/>
  <c r="K692" i="2" l="1"/>
  <c r="O692" i="2" s="1"/>
  <c r="M692" i="2"/>
  <c r="N692" i="2" s="1"/>
  <c r="L693" i="2"/>
  <c r="K693" i="2"/>
  <c r="M693" i="2"/>
  <c r="N693" i="2"/>
  <c r="O693" i="2"/>
  <c r="H694" i="2"/>
  <c r="I694" i="2"/>
  <c r="G694" i="2"/>
  <c r="O691" i="2"/>
  <c r="E696" i="2"/>
  <c r="F695" i="2"/>
  <c r="J694" i="2" l="1"/>
  <c r="G695" i="2"/>
  <c r="J695" i="2" s="1"/>
  <c r="H695" i="2"/>
  <c r="I695" i="2"/>
  <c r="L692" i="2"/>
  <c r="F696" i="2"/>
  <c r="E697" i="2"/>
  <c r="E698" i="2" l="1"/>
  <c r="F697" i="2"/>
  <c r="I696" i="2"/>
  <c r="G696" i="2"/>
  <c r="H696" i="2"/>
  <c r="K695" i="2"/>
  <c r="O695" i="2" s="1"/>
  <c r="M695" i="2"/>
  <c r="N695" i="2" s="1"/>
  <c r="M694" i="2"/>
  <c r="O694" i="2" s="1"/>
  <c r="N694" i="2"/>
  <c r="L694" i="2"/>
  <c r="K694" i="2"/>
  <c r="L695" i="2" l="1"/>
  <c r="J696" i="2"/>
  <c r="G697" i="2"/>
  <c r="H697" i="2"/>
  <c r="I697" i="2"/>
  <c r="F698" i="2"/>
  <c r="E699" i="2"/>
  <c r="F699" i="2" l="1"/>
  <c r="E700" i="2"/>
  <c r="I698" i="2"/>
  <c r="G698" i="2"/>
  <c r="H698" i="2"/>
  <c r="J697" i="2"/>
  <c r="K696" i="2"/>
  <c r="L696" i="2" s="1"/>
  <c r="M696" i="2"/>
  <c r="N696" i="2" s="1"/>
  <c r="O696" i="2" l="1"/>
  <c r="J698" i="2"/>
  <c r="M697" i="2"/>
  <c r="N697" i="2"/>
  <c r="O697" i="2"/>
  <c r="K697" i="2"/>
  <c r="L697" i="2"/>
  <c r="E701" i="2"/>
  <c r="F700" i="2"/>
  <c r="G699" i="2"/>
  <c r="H699" i="2"/>
  <c r="I699" i="2"/>
  <c r="E702" i="2" l="1"/>
  <c r="F701" i="2"/>
  <c r="J699" i="2"/>
  <c r="G700" i="2"/>
  <c r="H700" i="2"/>
  <c r="I700" i="2"/>
  <c r="K698" i="2"/>
  <c r="L698" i="2" s="1"/>
  <c r="M698" i="2"/>
  <c r="N698" i="2" s="1"/>
  <c r="O698" i="2" l="1"/>
  <c r="J700" i="2"/>
  <c r="K699" i="2"/>
  <c r="L699" i="2" s="1"/>
  <c r="M699" i="2"/>
  <c r="O699" i="2" s="1"/>
  <c r="H701" i="2"/>
  <c r="G701" i="2"/>
  <c r="I701" i="2"/>
  <c r="E703" i="2"/>
  <c r="F702" i="2"/>
  <c r="I702" i="2" l="1"/>
  <c r="G702" i="2"/>
  <c r="H702" i="2"/>
  <c r="F703" i="2"/>
  <c r="E704" i="2"/>
  <c r="J701" i="2"/>
  <c r="N699" i="2"/>
  <c r="M700" i="2"/>
  <c r="N700" i="2" s="1"/>
  <c r="K700" i="2"/>
  <c r="O700" i="2" s="1"/>
  <c r="L700" i="2" l="1"/>
  <c r="O701" i="2"/>
  <c r="K701" i="2"/>
  <c r="L701" i="2" s="1"/>
  <c r="M701" i="2"/>
  <c r="N701" i="2"/>
  <c r="F704" i="2"/>
  <c r="E705" i="2"/>
  <c r="G703" i="2"/>
  <c r="I703" i="2"/>
  <c r="H703" i="2"/>
  <c r="J702" i="2"/>
  <c r="E706" i="2" l="1"/>
  <c r="F705" i="2"/>
  <c r="K702" i="2"/>
  <c r="O702" i="2" s="1"/>
  <c r="L702" i="2"/>
  <c r="M702" i="2"/>
  <c r="N702" i="2" s="1"/>
  <c r="J703" i="2"/>
  <c r="H704" i="2"/>
  <c r="I704" i="2"/>
  <c r="G704" i="2"/>
  <c r="J704" i="2" s="1"/>
  <c r="K704" i="2" l="1"/>
  <c r="L704" i="2" s="1"/>
  <c r="M704" i="2"/>
  <c r="N704" i="2" s="1"/>
  <c r="K703" i="2"/>
  <c r="L703" i="2" s="1"/>
  <c r="M703" i="2"/>
  <c r="N703" i="2" s="1"/>
  <c r="G705" i="2"/>
  <c r="H705" i="2"/>
  <c r="I705" i="2"/>
  <c r="E707" i="2"/>
  <c r="F706" i="2"/>
  <c r="O703" i="2" l="1"/>
  <c r="J705" i="2"/>
  <c r="H706" i="2"/>
  <c r="I706" i="2"/>
  <c r="G706" i="2"/>
  <c r="O704" i="2"/>
  <c r="E708" i="2"/>
  <c r="F707" i="2"/>
  <c r="E709" i="2" l="1"/>
  <c r="F708" i="2"/>
  <c r="I707" i="2"/>
  <c r="G707" i="2"/>
  <c r="J707" i="2" s="1"/>
  <c r="H707" i="2"/>
  <c r="J706" i="2"/>
  <c r="L705" i="2"/>
  <c r="K705" i="2"/>
  <c r="O705" i="2"/>
  <c r="M705" i="2"/>
  <c r="N705" i="2"/>
  <c r="O707" i="2" l="1"/>
  <c r="K707" i="2"/>
  <c r="L707" i="2" s="1"/>
  <c r="M707" i="2"/>
  <c r="N707" i="2" s="1"/>
  <c r="M706" i="2"/>
  <c r="N706" i="2" s="1"/>
  <c r="K706" i="2"/>
  <c r="L706" i="2" s="1"/>
  <c r="G708" i="2"/>
  <c r="H708" i="2"/>
  <c r="I708" i="2"/>
  <c r="E710" i="2"/>
  <c r="F709" i="2"/>
  <c r="O706" i="2" l="1"/>
  <c r="F710" i="2"/>
  <c r="E711" i="2"/>
  <c r="J708" i="2"/>
  <c r="G709" i="2"/>
  <c r="H709" i="2"/>
  <c r="I709" i="2"/>
  <c r="H710" i="2" l="1"/>
  <c r="I710" i="2"/>
  <c r="G710" i="2"/>
  <c r="M708" i="2"/>
  <c r="K708" i="2"/>
  <c r="L708" i="2" s="1"/>
  <c r="N708" i="2"/>
  <c r="J709" i="2"/>
  <c r="F711" i="2"/>
  <c r="E712" i="2"/>
  <c r="I711" i="2" l="1"/>
  <c r="G711" i="2"/>
  <c r="J711" i="2" s="1"/>
  <c r="H711" i="2"/>
  <c r="O708" i="2"/>
  <c r="F712" i="2"/>
  <c r="E713" i="2"/>
  <c r="M709" i="2"/>
  <c r="N709" i="2"/>
  <c r="K709" i="2"/>
  <c r="L709" i="2" s="1"/>
  <c r="O709" i="2"/>
  <c r="J710" i="2"/>
  <c r="K710" i="2" l="1"/>
  <c r="L710" i="2" s="1"/>
  <c r="M710" i="2"/>
  <c r="N710" i="2" s="1"/>
  <c r="F713" i="2"/>
  <c r="E714" i="2"/>
  <c r="G712" i="2"/>
  <c r="H712" i="2"/>
  <c r="I712" i="2"/>
  <c r="K711" i="2"/>
  <c r="L711" i="2" s="1"/>
  <c r="M711" i="2"/>
  <c r="N711" i="2" s="1"/>
  <c r="H713" i="2" l="1"/>
  <c r="G713" i="2"/>
  <c r="J713" i="2" s="1"/>
  <c r="I713" i="2"/>
  <c r="O710" i="2"/>
  <c r="J712" i="2"/>
  <c r="E715" i="2"/>
  <c r="F714" i="2"/>
  <c r="O711" i="2"/>
  <c r="F715" i="2" l="1"/>
  <c r="E716" i="2"/>
  <c r="I714" i="2"/>
  <c r="G714" i="2"/>
  <c r="H714" i="2"/>
  <c r="M712" i="2"/>
  <c r="N712" i="2" s="1"/>
  <c r="K712" i="2"/>
  <c r="L712" i="2" s="1"/>
  <c r="L713" i="2"/>
  <c r="M713" i="2"/>
  <c r="O713" i="2" s="1"/>
  <c r="K713" i="2"/>
  <c r="N713" i="2" l="1"/>
  <c r="J714" i="2"/>
  <c r="O712" i="2"/>
  <c r="E717" i="2"/>
  <c r="F716" i="2"/>
  <c r="G715" i="2"/>
  <c r="I715" i="2"/>
  <c r="H715" i="2"/>
  <c r="J715" i="2" l="1"/>
  <c r="F717" i="2"/>
  <c r="E718" i="2"/>
  <c r="G716" i="2"/>
  <c r="H716" i="2"/>
  <c r="I716" i="2"/>
  <c r="K714" i="2"/>
  <c r="O714" i="2" s="1"/>
  <c r="L714" i="2"/>
  <c r="M714" i="2"/>
  <c r="N714" i="2" s="1"/>
  <c r="J716" i="2" l="1"/>
  <c r="E719" i="2"/>
  <c r="F718" i="2"/>
  <c r="I717" i="2"/>
  <c r="H717" i="2"/>
  <c r="G717" i="2"/>
  <c r="J717" i="2" s="1"/>
  <c r="K715" i="2"/>
  <c r="O715" i="2" s="1"/>
  <c r="L715" i="2"/>
  <c r="M715" i="2"/>
  <c r="N715" i="2" s="1"/>
  <c r="L717" i="2" l="1"/>
  <c r="N717" i="2"/>
  <c r="K717" i="2"/>
  <c r="M717" i="2"/>
  <c r="O717" i="2" s="1"/>
  <c r="H718" i="2"/>
  <c r="I718" i="2"/>
  <c r="G718" i="2"/>
  <c r="J718" i="2" s="1"/>
  <c r="F719" i="2"/>
  <c r="E720" i="2"/>
  <c r="K716" i="2"/>
  <c r="L716" i="2" s="1"/>
  <c r="M716" i="2"/>
  <c r="N716" i="2" s="1"/>
  <c r="G719" i="2" l="1"/>
  <c r="H719" i="2"/>
  <c r="I719" i="2"/>
  <c r="E721" i="2"/>
  <c r="F720" i="2"/>
  <c r="M718" i="2"/>
  <c r="K718" i="2"/>
  <c r="L718" i="2" s="1"/>
  <c r="N718" i="2"/>
  <c r="O716" i="2"/>
  <c r="E722" i="2" l="1"/>
  <c r="F721" i="2"/>
  <c r="O718" i="2"/>
  <c r="H720" i="2"/>
  <c r="G720" i="2"/>
  <c r="I720" i="2"/>
  <c r="J719" i="2"/>
  <c r="I721" i="2" l="1"/>
  <c r="G721" i="2"/>
  <c r="J721" i="2" s="1"/>
  <c r="H721" i="2"/>
  <c r="M719" i="2"/>
  <c r="N719" i="2" s="1"/>
  <c r="K719" i="2"/>
  <c r="L719" i="2" s="1"/>
  <c r="J720" i="2"/>
  <c r="E723" i="2"/>
  <c r="F722" i="2"/>
  <c r="G722" i="2" l="1"/>
  <c r="H722" i="2"/>
  <c r="I722" i="2"/>
  <c r="O719" i="2"/>
  <c r="F723" i="2"/>
  <c r="E724" i="2"/>
  <c r="K720" i="2"/>
  <c r="O720" i="2" s="1"/>
  <c r="M720" i="2"/>
  <c r="N720" i="2" s="1"/>
  <c r="L721" i="2"/>
  <c r="M721" i="2"/>
  <c r="O721" i="2" s="1"/>
  <c r="K721" i="2"/>
  <c r="L720" i="2" l="1"/>
  <c r="I723" i="2"/>
  <c r="G723" i="2"/>
  <c r="H723" i="2"/>
  <c r="F724" i="2"/>
  <c r="E725" i="2"/>
  <c r="N721" i="2"/>
  <c r="J722" i="2"/>
  <c r="K722" i="2" l="1"/>
  <c r="O722" i="2" s="1"/>
  <c r="L722" i="2"/>
  <c r="M722" i="2"/>
  <c r="N722" i="2"/>
  <c r="E726" i="2"/>
  <c r="F725" i="2"/>
  <c r="G724" i="2"/>
  <c r="H724" i="2"/>
  <c r="I724" i="2"/>
  <c r="J723" i="2"/>
  <c r="K723" i="2" l="1"/>
  <c r="L723" i="2"/>
  <c r="M723" i="2"/>
  <c r="O723" i="2"/>
  <c r="N723" i="2"/>
  <c r="J724" i="2"/>
  <c r="H725" i="2"/>
  <c r="G725" i="2"/>
  <c r="I725" i="2"/>
  <c r="E727" i="2"/>
  <c r="F726" i="2"/>
  <c r="F727" i="2" l="1"/>
  <c r="E728" i="2"/>
  <c r="I726" i="2"/>
  <c r="H726" i="2"/>
  <c r="G726" i="2"/>
  <c r="J725" i="2"/>
  <c r="K724" i="2"/>
  <c r="L724" i="2" s="1"/>
  <c r="M724" i="2"/>
  <c r="N724" i="2" s="1"/>
  <c r="O724" i="2" l="1"/>
  <c r="M725" i="2"/>
  <c r="N725" i="2" s="1"/>
  <c r="K725" i="2"/>
  <c r="L725" i="2" s="1"/>
  <c r="J726" i="2"/>
  <c r="F728" i="2"/>
  <c r="E729" i="2"/>
  <c r="I727" i="2"/>
  <c r="H727" i="2"/>
  <c r="G727" i="2"/>
  <c r="J727" i="2" s="1"/>
  <c r="F729" i="2" l="1"/>
  <c r="E730" i="2"/>
  <c r="G728" i="2"/>
  <c r="H728" i="2"/>
  <c r="I728" i="2"/>
  <c r="K726" i="2"/>
  <c r="L726" i="2" s="1"/>
  <c r="M726" i="2"/>
  <c r="N726" i="2" s="1"/>
  <c r="O725" i="2"/>
  <c r="M727" i="2"/>
  <c r="N727" i="2" s="1"/>
  <c r="K727" i="2"/>
  <c r="O727" i="2" s="1"/>
  <c r="L727" i="2" l="1"/>
  <c r="O726" i="2"/>
  <c r="J728" i="2"/>
  <c r="E731" i="2"/>
  <c r="F730" i="2"/>
  <c r="H729" i="2"/>
  <c r="I729" i="2"/>
  <c r="G729" i="2"/>
  <c r="J729" i="2" s="1"/>
  <c r="E732" i="2" l="1"/>
  <c r="F731" i="2"/>
  <c r="K729" i="2"/>
  <c r="L729" i="2" s="1"/>
  <c r="M729" i="2"/>
  <c r="N729" i="2" s="1"/>
  <c r="G730" i="2"/>
  <c r="H730" i="2"/>
  <c r="I730" i="2"/>
  <c r="K728" i="2"/>
  <c r="L728" i="2" s="1"/>
  <c r="N728" i="2"/>
  <c r="M728" i="2"/>
  <c r="J730" i="2" l="1"/>
  <c r="O729" i="2"/>
  <c r="O728" i="2"/>
  <c r="G731" i="2"/>
  <c r="H731" i="2"/>
  <c r="I731" i="2"/>
  <c r="E733" i="2"/>
  <c r="F732" i="2"/>
  <c r="G732" i="2" l="1"/>
  <c r="H732" i="2"/>
  <c r="I732" i="2"/>
  <c r="J731" i="2"/>
  <c r="E734" i="2"/>
  <c r="F733" i="2"/>
  <c r="M730" i="2"/>
  <c r="K730" i="2"/>
  <c r="O730" i="2" s="1"/>
  <c r="L730" i="2"/>
  <c r="N730" i="2"/>
  <c r="G733" i="2" l="1"/>
  <c r="I733" i="2"/>
  <c r="H733" i="2"/>
  <c r="M731" i="2"/>
  <c r="N731" i="2" s="1"/>
  <c r="K731" i="2"/>
  <c r="L731" i="2" s="1"/>
  <c r="O731" i="2"/>
  <c r="F734" i="2"/>
  <c r="E735" i="2"/>
  <c r="J732" i="2"/>
  <c r="N732" i="2" l="1"/>
  <c r="K732" i="2"/>
  <c r="L732" i="2" s="1"/>
  <c r="M732" i="2"/>
  <c r="O732" i="2" s="1"/>
  <c r="F735" i="2"/>
  <c r="E736" i="2"/>
  <c r="G734" i="2"/>
  <c r="H734" i="2"/>
  <c r="I734" i="2"/>
  <c r="J733" i="2"/>
  <c r="J734" i="2" l="1"/>
  <c r="M733" i="2"/>
  <c r="N733" i="2" s="1"/>
  <c r="K733" i="2"/>
  <c r="L733" i="2" s="1"/>
  <c r="E737" i="2"/>
  <c r="F736" i="2"/>
  <c r="H735" i="2"/>
  <c r="I735" i="2"/>
  <c r="G735" i="2"/>
  <c r="J735" i="2" s="1"/>
  <c r="K735" i="2" l="1"/>
  <c r="O735" i="2" s="1"/>
  <c r="M735" i="2"/>
  <c r="N735" i="2" s="1"/>
  <c r="G736" i="2"/>
  <c r="H736" i="2"/>
  <c r="I736" i="2"/>
  <c r="F737" i="2"/>
  <c r="E738" i="2"/>
  <c r="O733" i="2"/>
  <c r="K734" i="2"/>
  <c r="L734" i="2" s="1"/>
  <c r="N734" i="2"/>
  <c r="M734" i="2"/>
  <c r="E739" i="2" l="1"/>
  <c r="F738" i="2"/>
  <c r="O734" i="2"/>
  <c r="H737" i="2"/>
  <c r="I737" i="2"/>
  <c r="G737" i="2"/>
  <c r="J737" i="2" s="1"/>
  <c r="J736" i="2"/>
  <c r="L735" i="2"/>
  <c r="K736" i="2" l="1"/>
  <c r="O736" i="2" s="1"/>
  <c r="N736" i="2"/>
  <c r="M736" i="2"/>
  <c r="M737" i="2"/>
  <c r="N737" i="2"/>
  <c r="K737" i="2"/>
  <c r="L737" i="2" s="1"/>
  <c r="O737" i="2"/>
  <c r="I738" i="2"/>
  <c r="G738" i="2"/>
  <c r="H738" i="2"/>
  <c r="E740" i="2"/>
  <c r="F739" i="2"/>
  <c r="L736" i="2" l="1"/>
  <c r="F740" i="2"/>
  <c r="E741" i="2"/>
  <c r="J738" i="2"/>
  <c r="G739" i="2"/>
  <c r="I739" i="2"/>
  <c r="H739" i="2"/>
  <c r="O738" i="2" l="1"/>
  <c r="M738" i="2"/>
  <c r="N738" i="2" s="1"/>
  <c r="K738" i="2"/>
  <c r="L738" i="2"/>
  <c r="J739" i="2"/>
  <c r="E742" i="2"/>
  <c r="F741" i="2"/>
  <c r="H740" i="2"/>
  <c r="G740" i="2"/>
  <c r="J740" i="2" s="1"/>
  <c r="I740" i="2"/>
  <c r="G741" i="2" l="1"/>
  <c r="H741" i="2"/>
  <c r="I741" i="2"/>
  <c r="K739" i="2"/>
  <c r="L739" i="2" s="1"/>
  <c r="M739" i="2"/>
  <c r="N739" i="2"/>
  <c r="O739" i="2"/>
  <c r="F742" i="2"/>
  <c r="E743" i="2"/>
  <c r="K740" i="2"/>
  <c r="O740" i="2" s="1"/>
  <c r="M740" i="2"/>
  <c r="N740" i="2" s="1"/>
  <c r="L740" i="2" l="1"/>
  <c r="F743" i="2"/>
  <c r="E744" i="2"/>
  <c r="I742" i="2"/>
  <c r="H742" i="2"/>
  <c r="G742" i="2"/>
  <c r="J742" i="2" s="1"/>
  <c r="J741" i="2"/>
  <c r="M742" i="2" l="1"/>
  <c r="N742" i="2" s="1"/>
  <c r="K742" i="2"/>
  <c r="L742" i="2" s="1"/>
  <c r="M741" i="2"/>
  <c r="K741" i="2"/>
  <c r="L741" i="2" s="1"/>
  <c r="N741" i="2"/>
  <c r="E745" i="2"/>
  <c r="F744" i="2"/>
  <c r="I743" i="2"/>
  <c r="G743" i="2"/>
  <c r="H743" i="2"/>
  <c r="G744" i="2" l="1"/>
  <c r="I744" i="2"/>
  <c r="H744" i="2"/>
  <c r="O741" i="2"/>
  <c r="O742" i="2"/>
  <c r="J743" i="2"/>
  <c r="E746" i="2"/>
  <c r="F745" i="2"/>
  <c r="F746" i="2" l="1"/>
  <c r="E747" i="2"/>
  <c r="G745" i="2"/>
  <c r="H745" i="2"/>
  <c r="I745" i="2"/>
  <c r="K743" i="2"/>
  <c r="L743" i="2" s="1"/>
  <c r="M743" i="2"/>
  <c r="N743" i="2" s="1"/>
  <c r="O743" i="2"/>
  <c r="J744" i="2"/>
  <c r="M744" i="2" l="1"/>
  <c r="N744" i="2" s="1"/>
  <c r="K744" i="2"/>
  <c r="O744" i="2" s="1"/>
  <c r="J745" i="2"/>
  <c r="F747" i="2"/>
  <c r="E748" i="2"/>
  <c r="I746" i="2"/>
  <c r="H746" i="2"/>
  <c r="G746" i="2"/>
  <c r="E749" i="2" l="1"/>
  <c r="F748" i="2"/>
  <c r="J746" i="2"/>
  <c r="G747" i="2"/>
  <c r="H747" i="2"/>
  <c r="I747" i="2"/>
  <c r="M745" i="2"/>
  <c r="N745" i="2" s="1"/>
  <c r="K745" i="2"/>
  <c r="O745" i="2" s="1"/>
  <c r="L744" i="2"/>
  <c r="L745" i="2" l="1"/>
  <c r="J747" i="2"/>
  <c r="K746" i="2"/>
  <c r="O746" i="2" s="1"/>
  <c r="M746" i="2"/>
  <c r="N746" i="2" s="1"/>
  <c r="G748" i="2"/>
  <c r="I748" i="2"/>
  <c r="H748" i="2"/>
  <c r="F749" i="2"/>
  <c r="E750" i="2"/>
  <c r="L746" i="2" l="1"/>
  <c r="H749" i="2"/>
  <c r="G749" i="2"/>
  <c r="I749" i="2"/>
  <c r="J748" i="2"/>
  <c r="M747" i="2"/>
  <c r="K747" i="2"/>
  <c r="L747" i="2"/>
  <c r="O747" i="2"/>
  <c r="N747" i="2"/>
  <c r="E751" i="2"/>
  <c r="F750" i="2"/>
  <c r="E752" i="2" l="1"/>
  <c r="F751" i="2"/>
  <c r="I750" i="2"/>
  <c r="G750" i="2"/>
  <c r="J750" i="2" s="1"/>
  <c r="H750" i="2"/>
  <c r="M748" i="2"/>
  <c r="N748" i="2" s="1"/>
  <c r="K748" i="2"/>
  <c r="O748" i="2" s="1"/>
  <c r="J749" i="2"/>
  <c r="K749" i="2" l="1"/>
  <c r="L749" i="2" s="1"/>
  <c r="M749" i="2"/>
  <c r="N749" i="2" s="1"/>
  <c r="L748" i="2"/>
  <c r="M750" i="2"/>
  <c r="N750" i="2" s="1"/>
  <c r="K750" i="2"/>
  <c r="L750" i="2" s="1"/>
  <c r="H751" i="2"/>
  <c r="I751" i="2"/>
  <c r="G751" i="2"/>
  <c r="J751" i="2" s="1"/>
  <c r="E753" i="2"/>
  <c r="F752" i="2"/>
  <c r="O750" i="2" l="1"/>
  <c r="H752" i="2"/>
  <c r="I752" i="2"/>
  <c r="G752" i="2"/>
  <c r="O749" i="2"/>
  <c r="F753" i="2"/>
  <c r="E754" i="2"/>
  <c r="K751" i="2"/>
  <c r="O751" i="2" s="1"/>
  <c r="M751" i="2"/>
  <c r="N751" i="2" s="1"/>
  <c r="F754" i="2" l="1"/>
  <c r="E755" i="2"/>
  <c r="J752" i="2"/>
  <c r="L751" i="2"/>
  <c r="G753" i="2"/>
  <c r="H753" i="2"/>
  <c r="I753" i="2"/>
  <c r="E756" i="2" l="1"/>
  <c r="F755" i="2"/>
  <c r="J753" i="2"/>
  <c r="K752" i="2"/>
  <c r="L752" i="2"/>
  <c r="M752" i="2"/>
  <c r="O752" i="2"/>
  <c r="N752" i="2"/>
  <c r="H754" i="2"/>
  <c r="I754" i="2"/>
  <c r="G754" i="2"/>
  <c r="J754" i="2" s="1"/>
  <c r="M754" i="2" l="1"/>
  <c r="N754" i="2" s="1"/>
  <c r="K754" i="2"/>
  <c r="L754" i="2" s="1"/>
  <c r="K753" i="2"/>
  <c r="L753" i="2" s="1"/>
  <c r="M753" i="2"/>
  <c r="N753" i="2" s="1"/>
  <c r="G755" i="2"/>
  <c r="H755" i="2"/>
  <c r="I755" i="2"/>
  <c r="F756" i="2"/>
  <c r="E757" i="2"/>
  <c r="O754" i="2" l="1"/>
  <c r="G756" i="2"/>
  <c r="J756" i="2" s="1"/>
  <c r="H756" i="2"/>
  <c r="I756" i="2"/>
  <c r="J755" i="2"/>
  <c r="O753" i="2"/>
  <c r="E758" i="2"/>
  <c r="F757" i="2"/>
  <c r="G757" i="2" l="1"/>
  <c r="I757" i="2"/>
  <c r="H757" i="2"/>
  <c r="E759" i="2"/>
  <c r="F758" i="2"/>
  <c r="K755" i="2"/>
  <c r="L755" i="2" s="1"/>
  <c r="M755" i="2"/>
  <c r="O755" i="2" s="1"/>
  <c r="M756" i="2"/>
  <c r="N756" i="2" s="1"/>
  <c r="K756" i="2"/>
  <c r="O756" i="2" s="1"/>
  <c r="L756" i="2" l="1"/>
  <c r="N755" i="2"/>
  <c r="F759" i="2"/>
  <c r="E760" i="2"/>
  <c r="G758" i="2"/>
  <c r="H758" i="2"/>
  <c r="I758" i="2"/>
  <c r="J757" i="2"/>
  <c r="K757" i="2" l="1"/>
  <c r="O757" i="2" s="1"/>
  <c r="L757" i="2"/>
  <c r="M757" i="2"/>
  <c r="N757" i="2" s="1"/>
  <c r="F760" i="2"/>
  <c r="E761" i="2"/>
  <c r="J758" i="2"/>
  <c r="G759" i="2"/>
  <c r="H759" i="2"/>
  <c r="I759" i="2"/>
  <c r="J759" i="2" l="1"/>
  <c r="K758" i="2"/>
  <c r="M758" i="2"/>
  <c r="N758" i="2"/>
  <c r="O758" i="2"/>
  <c r="L758" i="2"/>
  <c r="F761" i="2"/>
  <c r="E762" i="2"/>
  <c r="G760" i="2"/>
  <c r="H760" i="2"/>
  <c r="I760" i="2"/>
  <c r="J760" i="2" l="1"/>
  <c r="E763" i="2"/>
  <c r="F762" i="2"/>
  <c r="H761" i="2"/>
  <c r="G761" i="2"/>
  <c r="I761" i="2"/>
  <c r="K759" i="2"/>
  <c r="O759" i="2" s="1"/>
  <c r="L759" i="2"/>
  <c r="M759" i="2"/>
  <c r="N759" i="2" s="1"/>
  <c r="J761" i="2" l="1"/>
  <c r="I762" i="2"/>
  <c r="H762" i="2"/>
  <c r="G762" i="2"/>
  <c r="J762" i="2" s="1"/>
  <c r="F763" i="2"/>
  <c r="E764" i="2"/>
  <c r="K760" i="2"/>
  <c r="O760" i="2" s="1"/>
  <c r="L760" i="2"/>
  <c r="M760" i="2"/>
  <c r="N760" i="2"/>
  <c r="E765" i="2" l="1"/>
  <c r="F764" i="2"/>
  <c r="G763" i="2"/>
  <c r="H763" i="2"/>
  <c r="I763" i="2"/>
  <c r="M762" i="2"/>
  <c r="N762" i="2"/>
  <c r="K762" i="2"/>
  <c r="L762" i="2" s="1"/>
  <c r="K761" i="2"/>
  <c r="L761" i="2" s="1"/>
  <c r="M761" i="2"/>
  <c r="N761" i="2" s="1"/>
  <c r="O762" i="2" l="1"/>
  <c r="O761" i="2"/>
  <c r="J763" i="2"/>
  <c r="G764" i="2"/>
  <c r="H764" i="2"/>
  <c r="I764" i="2"/>
  <c r="F765" i="2"/>
  <c r="E766" i="2"/>
  <c r="E767" i="2" l="1"/>
  <c r="F766" i="2"/>
  <c r="J764" i="2"/>
  <c r="H765" i="2"/>
  <c r="I765" i="2"/>
  <c r="G765" i="2"/>
  <c r="J765" i="2" s="1"/>
  <c r="K763" i="2"/>
  <c r="O763" i="2" s="1"/>
  <c r="L763" i="2"/>
  <c r="M763" i="2"/>
  <c r="N763" i="2" s="1"/>
  <c r="K765" i="2" l="1"/>
  <c r="L765" i="2" s="1"/>
  <c r="M765" i="2"/>
  <c r="N765" i="2"/>
  <c r="K764" i="2"/>
  <c r="L764" i="2" s="1"/>
  <c r="M764" i="2"/>
  <c r="N764" i="2"/>
  <c r="O764" i="2"/>
  <c r="G766" i="2"/>
  <c r="H766" i="2"/>
  <c r="I766" i="2"/>
  <c r="F767" i="2"/>
  <c r="E768" i="2"/>
  <c r="J766" i="2" l="1"/>
  <c r="O765" i="2"/>
  <c r="I767" i="2"/>
  <c r="H767" i="2"/>
  <c r="G767" i="2"/>
  <c r="E769" i="2"/>
  <c r="F768" i="2"/>
  <c r="I768" i="2" l="1"/>
  <c r="G768" i="2"/>
  <c r="H768" i="2"/>
  <c r="E770" i="2"/>
  <c r="F769" i="2"/>
  <c r="J767" i="2"/>
  <c r="M766" i="2"/>
  <c r="N766" i="2"/>
  <c r="K766" i="2"/>
  <c r="L766" i="2" s="1"/>
  <c r="O766" i="2" l="1"/>
  <c r="N767" i="2"/>
  <c r="K767" i="2"/>
  <c r="L767" i="2" s="1"/>
  <c r="M767" i="2"/>
  <c r="O767" i="2" s="1"/>
  <c r="G769" i="2"/>
  <c r="H769" i="2"/>
  <c r="I769" i="2"/>
  <c r="E771" i="2"/>
  <c r="F770" i="2"/>
  <c r="J768" i="2"/>
  <c r="K768" i="2" l="1"/>
  <c r="O768" i="2" s="1"/>
  <c r="M768" i="2"/>
  <c r="N768" i="2" s="1"/>
  <c r="H770" i="2"/>
  <c r="I770" i="2"/>
  <c r="G770" i="2"/>
  <c r="J770" i="2" s="1"/>
  <c r="F771" i="2"/>
  <c r="E772" i="2"/>
  <c r="J769" i="2"/>
  <c r="K770" i="2" l="1"/>
  <c r="O770" i="2" s="1"/>
  <c r="L770" i="2"/>
  <c r="M770" i="2"/>
  <c r="N770" i="2" s="1"/>
  <c r="F772" i="2"/>
  <c r="E773" i="2"/>
  <c r="I771" i="2"/>
  <c r="G771" i="2"/>
  <c r="H771" i="2"/>
  <c r="L768" i="2"/>
  <c r="M769" i="2"/>
  <c r="N769" i="2" s="1"/>
  <c r="K769" i="2"/>
  <c r="O769" i="2" s="1"/>
  <c r="L769" i="2"/>
  <c r="J771" i="2" l="1"/>
  <c r="F773" i="2"/>
  <c r="E774" i="2"/>
  <c r="G772" i="2"/>
  <c r="H772" i="2"/>
  <c r="I772" i="2"/>
  <c r="H773" i="2" l="1"/>
  <c r="I773" i="2"/>
  <c r="G773" i="2"/>
  <c r="J773" i="2" s="1"/>
  <c r="J772" i="2"/>
  <c r="F774" i="2"/>
  <c r="E775" i="2"/>
  <c r="M771" i="2"/>
  <c r="N771" i="2"/>
  <c r="K771" i="2"/>
  <c r="L771" i="2" s="1"/>
  <c r="O771" i="2" l="1"/>
  <c r="E776" i="2"/>
  <c r="F775" i="2"/>
  <c r="I774" i="2"/>
  <c r="G774" i="2"/>
  <c r="H774" i="2"/>
  <c r="M772" i="2"/>
  <c r="N772" i="2" s="1"/>
  <c r="K772" i="2"/>
  <c r="L772" i="2" s="1"/>
  <c r="O772" i="2"/>
  <c r="N773" i="2"/>
  <c r="K773" i="2"/>
  <c r="O773" i="2" s="1"/>
  <c r="M773" i="2"/>
  <c r="J774" i="2" l="1"/>
  <c r="L773" i="2"/>
  <c r="G775" i="2"/>
  <c r="H775" i="2"/>
  <c r="I775" i="2"/>
  <c r="E777" i="2"/>
  <c r="F776" i="2"/>
  <c r="G776" i="2" l="1"/>
  <c r="H776" i="2"/>
  <c r="I776" i="2"/>
  <c r="F777" i="2"/>
  <c r="E778" i="2"/>
  <c r="J775" i="2"/>
  <c r="K774" i="2"/>
  <c r="L774" i="2"/>
  <c r="M774" i="2"/>
  <c r="O774" i="2" s="1"/>
  <c r="N774" i="2"/>
  <c r="G777" i="2" l="1"/>
  <c r="I777" i="2"/>
  <c r="H777" i="2"/>
  <c r="M775" i="2"/>
  <c r="N775" i="2"/>
  <c r="K775" i="2"/>
  <c r="L775" i="2"/>
  <c r="O775" i="2"/>
  <c r="F778" i="2"/>
  <c r="E779" i="2"/>
  <c r="J776" i="2"/>
  <c r="K776" i="2" l="1"/>
  <c r="L776" i="2"/>
  <c r="M776" i="2"/>
  <c r="O776" i="2" s="1"/>
  <c r="N776" i="2"/>
  <c r="E780" i="2"/>
  <c r="F779" i="2"/>
  <c r="G778" i="2"/>
  <c r="H778" i="2"/>
  <c r="I778" i="2"/>
  <c r="J777" i="2"/>
  <c r="K777" i="2" l="1"/>
  <c r="L777" i="2" s="1"/>
  <c r="M777" i="2"/>
  <c r="N777" i="2" s="1"/>
  <c r="J778" i="2"/>
  <c r="H779" i="2"/>
  <c r="I779" i="2"/>
  <c r="G779" i="2"/>
  <c r="J779" i="2" s="1"/>
  <c r="F780" i="2"/>
  <c r="E781" i="2"/>
  <c r="O779" i="2" l="1"/>
  <c r="K779" i="2"/>
  <c r="L779" i="2" s="1"/>
  <c r="M779" i="2"/>
  <c r="N779" i="2" s="1"/>
  <c r="O777" i="2"/>
  <c r="E782" i="2"/>
  <c r="F781" i="2"/>
  <c r="G780" i="2"/>
  <c r="H780" i="2"/>
  <c r="I780" i="2"/>
  <c r="M778" i="2"/>
  <c r="N778" i="2" s="1"/>
  <c r="K778" i="2"/>
  <c r="O778" i="2" s="1"/>
  <c r="H781" i="2" l="1"/>
  <c r="I781" i="2"/>
  <c r="G781" i="2"/>
  <c r="L778" i="2"/>
  <c r="J780" i="2"/>
  <c r="F782" i="2"/>
  <c r="E783" i="2"/>
  <c r="I782" i="2" l="1"/>
  <c r="G782" i="2"/>
  <c r="J782" i="2" s="1"/>
  <c r="H782" i="2"/>
  <c r="F783" i="2"/>
  <c r="E784" i="2"/>
  <c r="K780" i="2"/>
  <c r="O780" i="2" s="1"/>
  <c r="M780" i="2"/>
  <c r="N780" i="2" s="1"/>
  <c r="J781" i="2"/>
  <c r="L780" i="2" l="1"/>
  <c r="G783" i="2"/>
  <c r="J783" i="2" s="1"/>
  <c r="H783" i="2"/>
  <c r="I783" i="2"/>
  <c r="L781" i="2"/>
  <c r="M781" i="2"/>
  <c r="K781" i="2"/>
  <c r="N781" i="2"/>
  <c r="O781" i="2"/>
  <c r="F784" i="2"/>
  <c r="E785" i="2"/>
  <c r="N782" i="2"/>
  <c r="O782" i="2"/>
  <c r="L782" i="2"/>
  <c r="M782" i="2"/>
  <c r="K782" i="2"/>
  <c r="E786" i="2" l="1"/>
  <c r="F785" i="2"/>
  <c r="G784" i="2"/>
  <c r="H784" i="2"/>
  <c r="I784" i="2"/>
  <c r="M783" i="2"/>
  <c r="N783" i="2"/>
  <c r="O783" i="2"/>
  <c r="K783" i="2"/>
  <c r="L783" i="2"/>
  <c r="J784" i="2" l="1"/>
  <c r="H785" i="2"/>
  <c r="G785" i="2"/>
  <c r="I785" i="2"/>
  <c r="E787" i="2"/>
  <c r="F786" i="2"/>
  <c r="I786" i="2" l="1"/>
  <c r="G786" i="2"/>
  <c r="J786" i="2" s="1"/>
  <c r="H786" i="2"/>
  <c r="F787" i="2"/>
  <c r="E788" i="2"/>
  <c r="J785" i="2"/>
  <c r="K784" i="2"/>
  <c r="L784" i="2"/>
  <c r="M784" i="2"/>
  <c r="N784" i="2"/>
  <c r="O784" i="2"/>
  <c r="H787" i="2" l="1"/>
  <c r="I787" i="2"/>
  <c r="G787" i="2"/>
  <c r="L785" i="2"/>
  <c r="M785" i="2"/>
  <c r="O785" i="2"/>
  <c r="K785" i="2"/>
  <c r="N785" i="2"/>
  <c r="E789" i="2"/>
  <c r="F789" i="2" s="1"/>
  <c r="F788" i="2"/>
  <c r="K786" i="2"/>
  <c r="M786" i="2"/>
  <c r="N786" i="2"/>
  <c r="O786" i="2"/>
  <c r="L786" i="2"/>
  <c r="I788" i="2" l="1"/>
  <c r="G788" i="2"/>
  <c r="J788" i="2" s="1"/>
  <c r="H788" i="2"/>
  <c r="G789" i="2"/>
  <c r="J789" i="2" s="1"/>
  <c r="H789" i="2"/>
  <c r="I789" i="2"/>
  <c r="J787" i="2"/>
  <c r="L789" i="2" l="1"/>
  <c r="N789" i="2"/>
  <c r="O789" i="2"/>
  <c r="O1" i="2" s="1"/>
  <c r="K789" i="2"/>
  <c r="M789" i="2"/>
  <c r="K788" i="2"/>
  <c r="N788" i="2"/>
  <c r="O788" i="2"/>
  <c r="M788" i="2"/>
  <c r="L788" i="2"/>
  <c r="L787" i="2"/>
  <c r="M787" i="2"/>
  <c r="K787" i="2"/>
  <c r="N787" i="2"/>
  <c r="O78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<sst xmlns="http://schemas.openxmlformats.org/spreadsheetml/2006/main" count="56" uniqueCount="46">
  <si>
    <t>too high</t>
  </si>
  <si>
    <t>too low</t>
  </si>
  <si>
    <t>CORRUPT!</t>
  </si>
  <si>
    <t xml:space="preserve"> $mul(48,81)mul(266,777)who())@*~!?)# mul(843,750}&lt;what()+&gt;mul(940,128)mul(477,389)who()}:when())&lt;[when()mul(838,845)&lt;when():;*mul(248,817)don't()+what();&amp;/)?&gt;~mul(464,153)why(166,536)&lt;/mul(893,554)when()what(){how()&amp;how()mul(505,410)&gt;{/&amp;,~mul(282,701) -!?from();mul(101,631)from()&lt;when()*&amp;mul(187,146)[@+&lt;?{[#{&lt;mul(424,344);!?why()%}what()*&gt;/mul(236,985)why(458,58)do()&amp;*&amp;&gt;how()mul(310,399) :{}^]don't()-&gt;when()from()+ mul(389,902)why(301,687) select()}&gt; who()mul(265,840)/mul(652,469)~where()what(){&lt;&gt;~mul(792,402);&gt; $+@select(747,467)[mul(720,836)%what(984,399)[select()-+{}}mul(757,143)-)%from(),)+where()mul(810,426)&lt;!*mul(596,769)$ from():]how()mul(67,919)why(485,244)]why(506,511)how()&amp;,[{% mul(794,823)!/]-*&lt;'where()mul(872~%how()$&lt;}]}why()~how()mul(413,924)?+[&gt;#who()^@mul,]-'(^^&gt;mul(30,409),)from() mul(916,685what()how(){#/mul(494,862)&lt;who()&gt;-&amp;mul(814,480)!&amp;what()*mul(315,311)!when() @}*%#mul(571,122)~*mul(717,593))/mul(633,314)&lt;^{[%{when()-&lt;?mul(26,322)mul(792;(?:^mul(592,551)&amp;from();%]who()&lt;,$mul(276,734):mul(478,513)]when(637,697){mul&amp; @+'[+mul(848,726)how(),from()-!&amp;,&lt;#do() !-mul(412,173)?''when()select()select();'when()mul(306,288)(!when()how(100,872)&gt;,{mul(571,721):?,@~]select(){mul(275,614),select()/&lt;mul(611,515)how(635,963)select()mul(741,23),select()why()^who(),%#}mul(144,95,why()why()~@^when(555,987)(mul(380,549)%:%&amp;how()&amp;mul(19,964)where(),*why()#%mul(194,612)}+^when()[mul(491,112))//what(){#-:mul(239,5){,?&gt;{[@mul(965,299)what()?$where()(#,(?mul(642,519),+~*]mul(830,103)/]:mul(61,609)from()where()from()([mul(808,331)$mul(885,259)))}mul(902,561)$*:mul(320,613)[where()}mul(374,288)~mul(720,106)*~$mul(967,879),who()[what()}when()/#$-mul(81,187)mul(368,22);];&lt;}- @{mul(882,60)#select()when()mul(144,567);what(),,#don't(){+from()'! mul(608,319)(mul(225,187)%%(&lt;,@#+%select()mul(130,278)!select()}&lt;when()where()mul(348,92):from()[mul(483,262)don't()*+&amp;&amp;}$mul(500,537)%(what()what()select()+^;do()where()]][/%select()*mul(118,729)+;[!why()$@mul(155,535)}from() ^*#select()how()'mul(685,187))*don't()what()(&amp;/{mul(174,160)&amp;+~:mul(100,237)&lt;mul(234,939)mul(328,456)mul(427,653))where()why(162,868){,mul(58,176)'}why()from()&amp;'why()?mul(449,899)-when()how()what()do()#,{,mul(529,302)?&lt;]'*how()who()*~mul(382,944)mul(348,909),]/mul(595,427)-:mul(896,889);-)&lt;mul(212,114)[}what()#how()mul(796,319)from()who()mul(161,245),mul(211,760)]*&lt;+]where()mul(239,248)%mul(634,18)mul(501,317)why()#[who(542,47)what()*who()~,$do()}} where()*~[when(696,90)~when()mul(736,662)*%-$select()-$who()/mul(297,910) when()(when()&gt;'@mul(353,117)]%'-^/?^mul(799,639)who()}-[&gt;mul(495,249)where()*,&lt;mul(79,846)how();mul(317,217)/mul(699,367)when()}mul(390,121),![,+]//,don't()@{what()(&gt;)~mul(768,867)why()mul(305,695)don't()?]where() ?#@(who()mul(748,367)why()+[mul(643,18)})mul(343,964){'mul(287,548)?%do(),from();/?';select()mul(97,411)!!{?mul(105,759)how())how()@mul(663,882)~[mul(709,411)@;]what()when()mul(267,470)&amp;mul(857,988)}/]^-select()]^:where()do()why()where()]-*mul(566,77)-&lt;why()how();:~&gt;#mul(217,308)what()~~(select()&amp;mul(462,131)&lt;+]%how()select()mul(242,763)'select()why()mul(316,185)[when()/ mul(584,440)from()</t>
  </si>
  <si>
    <t xml:space="preserve"> +*&lt;@;mul(470,836why()who()select()#when()select()where()from(812,299)&lt;/mul(987,617)when()&amp;%;mul(85,662) select()select()*?&gt;mul(469,324) select()why(){mul(891,321);'&amp;$%@{mul(792,73)$$[who()&gt;[[from():mul&gt;why()?how()mul(522,233)([%select()mul(195,940)&amp;mul(368,872)~}{who();!!&gt;^^mul(920,394)^,select():?!%[mul(477,578): what()~!/select())who()/mul(976,739)&gt;;who()who(43,925)&amp;when()&gt;&gt;;+mul(857,247) mul(442,620){;mul(393,289)-!*mul(848,511)?how()}@mul(290,212))(~+#~:mul(150]*/&gt;who()[&gt;?:&lt;mul(289,261)&gt;&lt;]*[;+what()where()mul(307,698);;from()~%;where(84,170)[${mul(158,165):[what()^select()mul(977,383)'*@&lt;! )mul(188,493)mul(566,212)&amp;,who()]do()mul(644,488)how())+]~who()where()mul(113,502)mul(306,625),] ;/#&amp;$;who()mul(418,801)#&gt;&gt;/;:mul(920,657)*how()when()mul(816,293)select()~$+^+mul(420,667);(^where());&lt;from()[,do()'where()/!where()&amp;?when()&gt;mul(402,31)]mul(272,313)^&gt;mul(161,164)@$&lt;mulfrom()$when()&lt;mul(718,501)+-who()mul(960,325);who()&amp;{?mul(615,493)select(){]when())#{from(465,35)mul(905,145){[,&amp;&gt;$mul(260,136)&amp;@}* &gt; -mul(380,442)^#*!don't())?(;@mul(209/%(&gt;,how()^mul(423,410)from()-mul(381,141)+~-)mul(674,158)^:what()&gt;(^)who()mul*^,mul(74,315)!-),mul(341,503)where()/;*)why()),what()&amp;mul(624,435)mul(880,482)}where():&lt;select():^&gt;]why()mul(367,134)when()(when()mul(166,251)@+,who(),mul(610,271)+&gt;)(mul(455,461)&gt;&amp;@-()from()+]mul(232,944)&amp;,@when()@]mul(523,215)mul(876,836) mul(335,254)&lt;#-{from()^mul(153,522)what(52,828)who()where()from()from()@&amp;&gt;$mul,!&amp;&lt;don't()why(768,688)what(),);'mul(851,963)]&amp;;(mul(45,859)[;select() ~%]when()!where()mul(807,272):#from()mul(943,224)?$mul(415,924)'from()?mul(204,131)}(&gt;what()^&gt;*{'mul(670,505)$mul&amp;&amp;/&lt;don't()why()@#(*~/:&gt;(mul(672,267)mul(540,120)&lt;$[-&gt;!}mul(234,539)!%]who(){mul(30,143)*mul(545,761)where()'!how(935,4)who()%'{~mul(673,752why()what()^:mul(111,407)from()}mul(860,90)#who()/^!how()-!{!mul(217,327)what()!'where()mul(729,143)where()!how()#mul(362,874)$how()how()-&gt;who()~^mul(315,718)!'-@~mul(206,449):/[??#mul(185,796)]~mul(597,268);) &gt;select()from()?)&lt;*mul(516,734)when()what()select()#$select()-?,$mul(366,627)%*{mul(62,39)&lt;what()mul(511,35)mul(879,156)-@]from()#select()mul(247,306;!mul(183,347)&lt;mul(638,126)+&gt;^/$from()+mul(250+~select()!from(){mul(981,151)#}mul(92,876))how()who(363,963)mul(827,341)::how()~&amp;mul(407,705)#+&gt;mul(576,849)mul(482,236)(^* who(),what()mul(544%who()('&gt;*!$@,}mul(113,286)when()'from(685,677)do()%from(614,566)-select()$,-mul(234,452)}&gt;[&amp;who(){#from()&amp;don't()why()select(645,338):why(840,833)+#mul(874,529)}&gt;what()select()why()mul(168,89)}{*when()}do()when()*?$^;?)]mul(811,383)!mul(770,725):!*#[from()from()from(487,367);:mul(564,858)(mul(248,563)*:;'mul??mul(254,676)+where()from()?'[){ how()mul(250,339))'!')where()&lt;?mul(410,838)(where()@mul(102,412)where()mul(173,786)-![mul(92,40)mul(888,277)'from()do()mul(390,731)@what()who()@%@who()&amp;&amp;?mul(930,981)&gt;}from()why()-*!mul(740,619)~$when(370,81)where()%-#;^mul(291;^&lt;-mul(266,422)@%select()/why() [mul(794,513)where()&gt;{+mul(944,970)!why();mul(968,484)&lt;from(),:&gt;/what()who()mul(285,45)when()who()^when(),mul(728,164),#/[)mul(568,114)%@:select() /*!mul(763,536)?@mul(506,503))do()@)^/mul(763,386)/why()how()from(417,323)&gt;what() where()mul(260,628)?:'+$why()+@&amp;mul(697,677)+]when():mul(246,278)</t>
  </si>
  <si>
    <t>(&lt;%@$?mul(856,705]&gt;!#'++why() &gt;#!/usr/bin/perlfrom()mul(147,188)&lt;?$when()+$where()%mul(894,439)&gt;where()what()mul(221,687)/)from()'[{mul(9,723)[{/?who()where()mul(113,227)&gt; ~&gt;$)mul(663,198)&amp;[&gt;#mul(567,600)]when()$@select())(%&lt;&amp;mul(472,423)#when()&gt;(/]select()$;how(511,981)mul(785,371}-how():$where()(?~mul(731,455)mul(810,191);who()(@&gt;,? !$mul(534,231&amp;don't();]why();,#;where()[,mul(190,923) }when()mul &lt;mul(909,876)[*~when()]mul(739,708)select()(@:~)/&lt;@,mul(794,354)&lt;mul(874,298)what()why()$+mul(669,535)&amp;!^mul(260,4))mul(641,230)mul(516,429)'mul(141,983)!}when()select()where()+}[)do()&amp;&gt;:mul(525,573&lt;{what() *$?from()from(){mul(885,340)why()&gt;mul(398,414)?[where()&lt;what()from()^mul(746,645)where(586,97)+'mul(523,150)/%()~how()where(580,13)@mul(446,624),'-mul(605,440),from()$/-where()mul(17,117) &gt;$why()from())mul(988,667)mul(828,197)'why()/%*when()/*mul(799,415)where()]&lt;~ ?&gt;'-don't()^[(' ]%^~%mul(122,243)why();[how(951,959)how(435,882)~*-#don't()why()[what()what()'mul(218,944)!)&amp;&gt;'(where()+mul(686,595)#&amp;when()mul(916,990))what()mul(414,411)&gt;why()&amp;select()!}why() ?&gt;mul(820,386)select()mul(324,473)mul(690,413)!&gt;$why()mul(23,907)who()%&lt;who()))how()^mul(65,111)where()^$mul(793,643)&amp;who() mul(481,441)+&lt;mul(796,772)#^mul(827,58)]{where()*#&gt;mul(579,551)where()when()how()?~&amp;@-why()&gt;mul(359,283)[don't() }mul(238,664)!]~^^#(why()mul(128,702)mul(750,811)what()',do()'@where()select()from(),/+&amp;mul(640,613),&amp;%+why()^from()from()*mul(314~${~*how()?what() mul(593,269)who()*mul(865,609)what()@~$+mul(784,462))],;;'what(){mul(902,580)when()&lt;{~ ?&gt;~how()mul(22,360)]mul(650,584)#select()!(why()/;+when()mul(173,450)where()mul(126,232)(?@/^how()why()who()mul(148,272)&amp;?when()where()]mul(93,105)?!}!:@!mul(428,270)- where(179,717)&gt;@!-,how()why()don't()!where()who()$:&lt;mul(439,76)*,^mul~mul(69,32)!how()}**what()mul(496,817)when()*how()^+~how()from()mul{]&amp;when()-:}why(540,134)&gt;mul(472,276)&lt;'&amp;where()mul(334,580)'/-?+;(-mul(78,731)select()mul(584,89)*/&gt;don't()/;''~how()?&lt;mul(106,855)']mul(996,656){%:mul(873,777);how()(:#mulwhere(939,627)#^&gt;&lt;mul(186,441)when()+?who()'$mul(297,888)how()%'?:-{&amp;mul(291,979)}&gt;# how(261,707)$],mul(983,656)*&gt; mul(340,628)]*][[/mul(193,206)(})~mul*/-#mul(976,903)%#why()$}-&amp;mul(734,303)what()[from()*-/why()do()&amp;why()!*]@from()&amp;when()mul(339,902)from()([,[*^?how()mul(2,449)when()how()why()mul(799,379)-!#-mul(704,107)mul(205,807) :mul(787,710)mul(575,659)when(),];~'!mul(755,669){+&amp;%$-&lt;mul(533,448);#from()how()$what()-don't()from()] )mul(663,118)$from()$;who()do()#from()*?from()%mul(521,701/how()mul(357,734)who()from()+select()who()(*{%:mul(900,877)[{mul(276,197)!how()who()}$}?mul}$:why()who()who()mul(635,783)mul(276,497)[select()how()select()&gt;,where()}# mul(555,644);^who()!}mul(341:@#{mul(135,278)where()how()what();where()mul(439,633),]$how()why()mul(708,508)where()%{why(744,659)mul(700--(why()*%/where()#&lt;@don't()$?mul(39what(),#})$ select()how()~mul(847,132){)what(134,971)what(336,162))&amp;/what()mul(470,625)#mul(275,789)where()&lt;]mul(15,846)when()from()mul(21,575)%from()^&lt;from()@-}from()*mul(437,525))+!~{select()don't()&gt;when()when() ~(+select()what()mul(554,360)from()]~mul(785,136)}%#:?mul(117,254)who()do()% %;%-from(747,86)how()^/mul(313,607)why()mul(678,806),(mul(226,595)#%mul(415,823)']mul(873,709)#;select()'&lt;&gt; *mul(121,496)why()who()what()?where()mul(590,916)',/@what()how()?%mul(477,943)when()who()/';%mul(654,383)select()*why()'^select()]select()&amp;mul(433,312);//~++what()&amp;&lt;?do()who()^&amp;from()#how();[[#mul(512,521)%&gt;![]mul(532,452)</t>
  </si>
  <si>
    <t>#)'{mul(531,103){ {where()what()from()mul(127,712))what()&lt;mul(595,154)~&gt;!%from()'/how()*when(940,337)mul(259,916)+}!-}[mul(703,780++;select()?why()[{mul(221,199)+mul(303,268)$don't()'[what();^mul(542,561);who()&amp;,mul(68,800)[&lt;'{}why()?^from()mul(26,194)?]who():;mul(641,921)#&amp;where()mul(539,571)select()]~%%]when())mul(833,642);mul(209,564)}&lt;^)when()mul(648,430/(#)/?(';where()what()mul(818,526) ]!what()do() &lt;;:mulfrom() @-&lt;select()what(557,962)$%mul(83,808)from()% {)mul(894,523){~?@'&amp;,how()&gt;mul(764,627)#/mul(887,607), do()$(},#^}}from()how()mul(184,287)where()$^mul(859,310){who()how()mul(692,592){&gt;?&amp;mul(223,912)what()^@ {{^@/mul(736,965)$)]];-#@&amp;mul(600,145)~/}*-}how()mul(893,646):where()}mul(205,416)what()from()mul(35,844)mul(94,245))/&lt;#&lt;/$when()who(236,448)mul(943,490)^?*!mul(187,639)select()mul(105,840)#;-;((&amp;,select()mul(495,135)don't()when()(&amp;mul(129,293)}}{~from()]select()*+mul(724,202)mul(540,481)+when()$&gt;&lt;from()?$#mul(604,366)where()why()^select()mul(82,14){]what()##/^mul(661$mul(576,422)!}*mul(968,267)mul(501,251)&lt;[,mul(999-mul(61,600)how()~ how()#&amp;mul(488,199)+})who()# @what()mul(695,154)!{[don't()mul(454,729)what():(&lt;%mul(656,115)from()!]when()when():?,mul(536,421)}select()when()&lt;mul(550,82)(:mul(482,346)}%when()&gt;+mul(189,780)from()how()#&lt; ^don't()why()&amp;who()where(){ &gt;:mul(638,986)*+&lt; ;mul(131,393),how(419,400)*@how()mul(856,729)who()$$[$[select()~&lt;mul(553,105)why(720,700)']mul(780,579)}what()select()who()~//}^mul(811,393))/&lt;#,mul(530,118)@'%&lt;~mul(640,727)'-]:-:]+mul(124,151)~@{why()@/why()mul(523,641)'%select())/mul(70,234)-$#mul(589,488)^:how()(when()mul(66,473)$/!-{from()%]#]mul(417,212)~&gt;{(when()$mul(613,175)}mul(503,337)~)what() mul:!-*}?~who()&lt;mul(709,759)}what()^where()when()!select(820,39)]::mul(884,175):#mul(852,584)&gt;-mul(649,886)+how(738,973)when()[(mul(593,702)where()%%^(]who()mul(456,697)%~^'when()how()mul(789,446)mul(737,439)mul(830,910):&gt;why()when()how()'?]why()&gt;do()#'&amp;why()'from()mul(972,441):mul(157,521)mul(43,224):$who()&gt;select()how()mul(52,740)'mul(136,716)select()mul(613,433)]&gt;$^when()why()where()how();mul(978,314))$mul(695,29)}mul(778,660){how()&lt;+$?mul(402,606)select()+~$do()mul(262,94)how()why()))#'^$@mul}mul(201,86)*select()mul(876,626)why()mul(174,750)where()(from()(mul(433,335)]@mul(29,940) :~what()$}where()select()mul(416,920)^&amp;%&lt;~^mul(276,648)mul(636,17);why()}-}mul(810,73)&lt;@} how():from(900,831)what()mul(241,497)select()when()'&amp;{mul(603,108):[,mul(941,454) $@mul&gt;@&lt;}'[, $mul(510,523)where(), ~];mul(584,102)&lt;when()mul(907,301)]#select()select();{how()select()what()?mul(980,625)select())where(){:^mul(544,917)((how()['who()mul(628,364)who(272,887)@!^@{+~{don't()when() )(from()what()when()-mul(95,412)(mul(127,442)/mul(658,920)from()from())!$&lt;&amp;*mul(45,446)what()where()&amp;![-% (%mul(304};do()why(81,149)#^mul(181,603)where()^;{(! ^;mul(381,353)~@$mul(129,558)where()?from(): mul(573,183&lt;how()*how()(#(mul(626,301))?]/)how()mul(20,851)[$when()*how()mul(42,787)[! )@;:(;mul(98,614)why()mul(692,723)!'&gt;' do()why()&lt;&amp;select(812,485)!mul(538,458)who()why()^'select(){{why()mul(773,196)when()why(713,26){,!do()?why()!when(),?mul(234,541)mul(558]!(%;}'-mul(721,55)</t>
  </si>
  <si>
    <t>}?/,(~+^mul(398,379)why()-!why(){}mul(618,341)how(818,559)'%}~+}'!&lt;mul(128,74)*- &amp;}+[mul(830,201)$when()mul(382,164) /&gt;select()~]~mul(41,659)&lt;'{where():#+)$mul(447,137)where(120,771)$@why()#mul(457,857)&lt;$from()$(who()@?mul(644,914)}mul(936,442);{*(why()mul(804,26);don't()why(),+*how() @:mul(668,778)%select() who() (,where()mul(66,974)^)when():$who()mul(832,615)#mul(572,646)where()how()what()when(673,330)where()when()&amp;/mul(820,446)$why()where()mul(86,788)^~what()'mul(76,413)&amp;'how()mul(616,424)what()select()}from()(/;mul(651,36)!{ mul[*mul(469,702)who()?;mul(331,879)?*from(54,751)who()#+[ mul(182,296)where(607,734){mul(920,190) :mul(660,732)^who()who()*'!mul(3,615)+{why(168,603)when(), mul(254,713); where()*from()~ !!#mul(897,311)]mul(629;what(280,32)&gt;mul(194,563)^&lt;how()when() }#&lt;mul(27,237)?@where()mul(389,541)}'@when()}(*how()mul(671,516)do() ~select()!*']&gt;&amp;mulwho()when()'!what()why()?'}}!mul(414,213)$when()]+{why()mul(606,917)how()*?^,mul(292,543)&gt;mul(326,145)*(&amp;!;^:!#'mul;#@~where()&lt;mul(81,169)mul(436,774)+when()%+where()-[}+mul(425,438)when()/}what()mul(76,978)&gt;%;,from()select()mul(39,372)~[when()what()!+#who()]~mul(905,968from(843,581)(from()from()~what()how()when()mul(768,210)*mul(68,62)mul(777,345%{/select()%mul(458,251));what())how()where()how()when()mul(810,199)&lt;~mul(252,749)don't()mul(915,327)(: mul(608,270)&lt;%[!}-&amp;mul(328,665)from()&gt;*)how()mul(836,471)mul(270,799);(why();&amp;~~mul(598,772)from()&gt;mul(409,297)$mul(469,982)mul(457,665):@&gt;{don't()why()&lt;+,mul(293,172select(816,987)}why()mul(372,420)why()%mul(105,735),&lt;]{mul?{$;&gt;from()what()-$;mul(348,90)from()what()~mul(634,662)^do()$@]*)~,&amp;mul(226,996)when()%]what()!@/&amp;mul(322,135);who() &amp;^select()*&amp;}mul(967,104)from()}'who(701,7)~%[mul(687,163)@:&lt;!how(){^/who()@mul(497,664))@!-(who()&lt;mul(20,274)where(){%&lt;where()?&gt;+:mul(382,128)mul(831,450)mul(485,444)%^what()what()[$what()@}do()-%?'mul(204,152);$'/mul(63,376)mul(387,70)~@'{,':&lt;mul(517,687)@ $^ )why()!mul(865,593)where(918,337)!;mul(786$$'$%why()select()[~$why()mul(667,335)~{+where()who()?from()mul(582,456)%,from()[from()how()mul(927,806)+(]?%mul(460,721)^^;^do(),how()when()select(435,369)}&amp;mul(66[*how();&gt;why()(%{how()&lt;mul(997,260):'do()%::&amp;what()}*who()mul(506,521)'who()%/!why()*&amp;!don't()#@&amp;mul(538,407)'^mul(84,106)'},#^where()%mul(105,225)-what()/how()/from()mul(49,421)@$)[)?why()'#}mul(707,127)@when() &amp;(mul(732,645)'from()'*when()why()from()[who(850,51)?mul(566,427)how()&gt;who()]',from()'how()why()mul(42,665)%'# [}mul(684,645){{%'mul(115,930)mul(552,181)mul(762,163)mul(202,193)+*[mul(525,337)+}-:](?^#mul(466,861)/do()'(;mul(860,319);mul(48,137){when() ~:&lt; &lt;mul(317,942)'~&amp;#how()^mul(66,243)/(from()mul(678,119)when()!when()&gt;from()mul(3,497)?when()&lt; #?^@do()&gt;;/?:mul(522,894)+{+mul(419,20)mul(139,677)where(119,273)*what()[^?mul(563,549)how()&lt;@'%mul(560,434)what()where(),mul(886,302)mul(632,393)*what()!}{mul(769,651)'(mul(267,514)-[how()^:mul(64,902)when()mul(356,352# ;'mul(267,302)#(mul@;~+mul(471,643)!from())!what()from()~mul(429,997)/-mul(401,220)&gt;{]what()what()@select()},mul(294,298)how()mul(230,3)/&amp;what()]&gt;]!how()/mul(888,907)](#&gt;~}+#mul(17,816)/[+when()&gt;from()]^:mul(94,85)</t>
  </si>
  <si>
    <t>}}+{where()mul(873,602) mul(954,447)^where()~mul(548,799)-&lt;what()mul(588,631)^who()'@( [mul(143,388)how(445,327))$ select()who()mul(746,719)mul(963,262)}'*+why()&lt;?&amp;/select()don't()[%]% ^^mul(933,492)don't() ^-who()(%how()]mul(583,700))!,where()mul(999,507)](mul(821,504)^%/;:-mul(471,220)who()&amp;'who(161,37)&lt;'mul(843,213),&lt;mul(298,802)-()@how()where()@+[:mul(910,85)'when()($select()%-*mul(532,213)*from()select()$,what()mul(956,380)mul(326,87)mul(243,775)!/:from()&amp;^^mul(118,409)!)what()select()mul(610,89)mul(432,774)from()# from()&lt;mul(400,864):+&amp;mul(957,923)'don't()+select()why()mul(496,383),&amp;why()(-;)+!#mul(79,135)~{mul(500,619),#what(361,47)@&amp;;@+mul(580,98)&lt;&gt;#why():$from()(!mul(660,615):where()mul(596,918)how()[what()how()who()]@mul(594,699)$&gt;$&amp;why()mul(951,813)mul(948,41)]mul(699,225)&gt;mul(840,275):@~^@%^select()mul(695,594)what()-&gt;-mul(409,636)@ {++mul(999,290)when(339,689),[+[+?mul(558,848)how(),what()&amp;}]{mul(344,337)$)$]+,$,,why()do()::select()^:mul(796,16)mul(526,718) mul(66,417)#@&gt;~do()why()from()/select()when():&amp;mul(8,111);!where()do()}@mul(433,239)*}how() {^!do()#^mul(167,905)-&amp;%(mul(979,711)when()]who()'?mul(523,172)[^what(844,455)'what()[/~@mul(928,776)where()]&amp;/mul(587,380)who()/when()how()from(),}#}mul(97,952)select(837,505)~@&gt;~%mul(486,198)^!mul(968,779)do()[mul(206,321);,where()where())how()}/mul(6,867)-&amp;&lt;!*select()mul(615,984)~?who()#&lt;{how()?@mul(617,643){ @,'why()+&gt;what()(mul(683,583)^(mul(244,555)^where()(how()what()?-[,who()mul(827,305);&amp;,!$*?mul(793,452)^ )+(%-where()&lt;mul(318,238)&lt;$-what()mul(802,394)?how()&lt;mul(488,879)do()$}&lt;:&amp;mul(429,358)~how()mul(36,174)mul(87,398)+%what()]mul(822,311)mul(379,261)~when()mul(618,193)@)!))-what()how(645,829)[mul(964,102);who()don't(),[what(),,?select()why()@mul(121,293)select()@who()!mul(770,96)+;%from(467,168)mul(616,890)@%:)[mul(943,145) [from()&amp;where(283,130){*where()mul(649,49)select())mul(877,73)from()do()where()?where()&gt;who()from()@who(){*mul(592,919)/:what():who()mul(213,139)what()$!?*how(934,24)$-who()(mul(661,7)?from(),}/who()mul(876,585)how()why():when()[@@mul(433,918)why()why(),*{who()when()who()mul(144,14/#(&lt;mul(656,306)&amp;what()&amp;{*@%select(709,225)/mul(843,135)who()$[don't()&lt;mul(576,966)^,?&gt;don't()@(@{~why()[who()mul(394,492)where()/mul(508,797)-mul(150,832)+$@why()(why()~mul(527,236)&lt;don't()!#{how()*!,!mul(177,945)'mul(5,181)#!#'&amp;?what()&amp;mul(10,492):%/'*mul(822,748){!*]who()when()&lt;!&lt;mul(21,920)+do()-who()from(505,694)where()from()$who()where()where()/mul(827,561)how()when()mul(770,221)%when()who()mul(872,151)mul(453,84)['&amp;+:mul(258,293)@#,where()mul(264,689)mul(90[mul(94,665)-who()don't()what()&gt;!:@!^&amp;!mul(324&gt;?!from()where())mul(731,184)#(}who()'mul(666,377)how()(;mul(346,141)^select()/@[$how()@]?mul(702,502,^where()&lt;}[mul(872,308)+^!&lt;@from() {:mul(537,974)%when()when()%mul(563,805)select()&gt;how()&gt;^';mul(643,555))where(290,606)who()?mul(656,803),?$/*?when()}@ mul(228,902)~/from(){where()what()&gt;@~mul(849,93)~+select()?-^}&lt;don't()mul(844,117)(when()~,}# /:+mul(24,282)@where()~from()($what()what()*&lt;mul(886,107)[#;mul(725,121) %[&gt;mul(115,425)${what()mul(219,305)how()])from()&lt;mul(401,458)-from()+mul(92,705)</t>
  </si>
  <si>
    <t>sum</t>
  </si>
  <si>
    <t>multiply, iferror 0</t>
  </si>
  <si>
    <t>text after ,</t>
  </si>
  <si>
    <t>text before ,</t>
  </si>
  <si>
    <t>text before )</t>
  </si>
  <si>
    <t>concat again, split by mul(</t>
  </si>
  <si>
    <t>first col only</t>
  </si>
  <si>
    <t>split into rows - do(), columns - don't()</t>
  </si>
  <si>
    <t>full text</t>
  </si>
  <si>
    <t>split into rows using mul(</t>
  </si>
  <si>
    <t>multiply</t>
  </si>
  <si>
    <t>len 2</t>
  </si>
  <si>
    <t>nr 2</t>
  </si>
  <si>
    <t>len 1</t>
  </si>
  <si>
    <t>nr 1</t>
  </si>
  <si>
    <t>find corrupt</t>
  </si>
  <si>
    <t>pos )</t>
  </si>
  <si>
    <t>pos ,</t>
  </si>
  <si>
    <t>pos (</t>
  </si>
  <si>
    <t>extract mul's</t>
  </si>
  <si>
    <t>mul start position</t>
  </si>
  <si>
    <t>index</t>
  </si>
  <si>
    <t>concat input</t>
  </si>
  <si>
    <t>count mul's</t>
  </si>
  <si>
    <t>input</t>
  </si>
  <si>
    <t>h</t>
  </si>
  <si>
    <t>g</t>
  </si>
  <si>
    <t>f</t>
  </si>
  <si>
    <t>e</t>
  </si>
  <si>
    <t>d</t>
  </si>
  <si>
    <t>c</t>
  </si>
  <si>
    <t>b</t>
  </si>
  <si>
    <t>a</t>
  </si>
  <si>
    <t>Part 2</t>
  </si>
  <si>
    <t>this</t>
  </si>
  <si>
    <t>trim:</t>
  </si>
  <si>
    <t>Part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</si>
</sst>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2" xfId="0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2" xfId="0" applyFont="1" applyBorder="1" applyAlignment="1">
      <alignment vertical="top"/>
    </xf>
    <xf numFmtId="0" fontId="3" fillId="4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5" fillId="3" borderId="0" xfId="0" applyFont="1" applyFill="1" applyAlignment="1">
      <alignment horizontal="right" vertical="top"/>
    </xf>
    <xf numFmtId="0" fontId="0" fillId="0" borderId="0" xfId="0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3316-A1CF-4F65-B4F5-C831E2C28B9F}">
  <dimension ref="A1:AN789"/>
  <sheetViews>
    <sheetView tabSelected="1" workbookViewId="0">
      <pane xSplit="1" ySplit="3" topLeftCell="Z4" activePane="bottomRight" state="frozen"/>
      <selection pane="topRight" activeCell="B1" sqref="B1"/>
      <selection pane="bottomLeft" activeCell="A3" sqref="A3"/>
      <selection pane="bottomRight" activeCell="A15" sqref="A15"/>
    </sheetView>
  </sheetViews>
  <sheetFormatPr defaultRowHeight="14.4" x14ac:dyDescent="0.3"/>
  <cols>
    <col min="1" max="1" width="22.88671875" style="1" customWidth="1"/>
    <col min="2" max="2" width="11" style="1" customWidth="1"/>
    <col min="3" max="3" width="9.109375" style="1" customWidth="1"/>
    <col min="4" max="4" width="6.5546875" style="1" customWidth="1"/>
    <col min="5" max="5" width="8.44140625" style="1" bestFit="1" customWidth="1"/>
    <col min="6" max="6" width="16.5546875" style="1" bestFit="1" customWidth="1"/>
    <col min="7" max="9" width="5.6640625" style="1" customWidth="1"/>
    <col min="10" max="10" width="13.44140625" style="1" bestFit="1" customWidth="1"/>
    <col min="11" max="11" width="8.44140625" style="1" bestFit="1" customWidth="1"/>
    <col min="12" max="12" width="5.6640625" style="1" customWidth="1"/>
    <col min="13" max="13" width="8.88671875" style="1" bestFit="1" customWidth="1"/>
    <col min="14" max="14" width="6.33203125" style="1" customWidth="1"/>
    <col min="15" max="15" width="10" style="1" bestFit="1" customWidth="1"/>
    <col min="16" max="16" width="8.21875" style="1" customWidth="1"/>
    <col min="17" max="17" width="8.88671875" style="1"/>
    <col min="18" max="18" width="15.77734375" style="1" customWidth="1"/>
    <col min="19" max="19" width="13" style="1" customWidth="1"/>
    <col min="20" max="21" width="9.6640625" style="1" customWidth="1"/>
    <col min="22" max="23" width="10" style="1" bestFit="1" customWidth="1"/>
    <col min="24" max="24" width="4" style="1" customWidth="1"/>
    <col min="25" max="25" width="8.88671875" style="7"/>
    <col min="26" max="26" width="35.33203125" style="1" customWidth="1"/>
    <col min="27" max="32" width="8.88671875" style="1"/>
    <col min="33" max="34" width="22" style="1" customWidth="1"/>
    <col min="35" max="36" width="12.6640625" style="1" customWidth="1"/>
    <col min="37" max="37" width="8.88671875" style="1"/>
    <col min="38" max="38" width="12.109375" style="1" customWidth="1"/>
    <col min="39" max="16384" width="8.88671875" style="1"/>
  </cols>
  <sheetData>
    <row r="1" spans="1:40" ht="21" x14ac:dyDescent="0.3">
      <c r="B1" s="19" t="s">
        <v>45</v>
      </c>
      <c r="E1" s="18" t="s">
        <v>44</v>
      </c>
      <c r="F1" s="1">
        <v>15</v>
      </c>
      <c r="N1" s="17" t="s">
        <v>9</v>
      </c>
      <c r="O1" s="16">
        <f>SUM(O4:O789)</f>
        <v>161308683</v>
      </c>
      <c r="P1" s="16" t="s">
        <v>0</v>
      </c>
      <c r="V1" s="15" t="s">
        <v>43</v>
      </c>
      <c r="W1" s="14">
        <f>W4</f>
        <v>161289189</v>
      </c>
      <c r="Y1" s="20" t="s">
        <v>42</v>
      </c>
      <c r="AL1" s="17" t="s">
        <v>9</v>
      </c>
      <c r="AM1" s="16">
        <f>AM4</f>
        <v>80299108</v>
      </c>
      <c r="AN1" s="16" t="s">
        <v>1</v>
      </c>
    </row>
    <row r="2" spans="1:40" ht="15.6" customHeight="1" x14ac:dyDescent="0.3">
      <c r="B2" s="19"/>
      <c r="E2" s="18"/>
      <c r="N2" s="17"/>
      <c r="O2" s="16"/>
      <c r="P2" s="16"/>
      <c r="V2" s="15"/>
      <c r="W2" s="14"/>
      <c r="Y2" s="13" t="s">
        <v>41</v>
      </c>
      <c r="Z2" s="6" t="s">
        <v>40</v>
      </c>
      <c r="AG2" s="6" t="s">
        <v>39</v>
      </c>
      <c r="AH2" s="6" t="s">
        <v>38</v>
      </c>
      <c r="AI2" s="6" t="s">
        <v>37</v>
      </c>
      <c r="AJ2" s="6" t="s">
        <v>36</v>
      </c>
      <c r="AK2" s="6" t="s">
        <v>35</v>
      </c>
      <c r="AL2" s="6" t="s">
        <v>34</v>
      </c>
    </row>
    <row r="3" spans="1:40" s="4" customFormat="1" ht="28.8" x14ac:dyDescent="0.3">
      <c r="A3" s="12" t="s">
        <v>33</v>
      </c>
      <c r="B3" s="12" t="s">
        <v>32</v>
      </c>
      <c r="C3" s="12" t="s">
        <v>31</v>
      </c>
      <c r="D3" s="5" t="s">
        <v>30</v>
      </c>
      <c r="E3" s="5" t="s">
        <v>29</v>
      </c>
      <c r="F3" s="5" t="s">
        <v>28</v>
      </c>
      <c r="G3" s="11" t="s">
        <v>27</v>
      </c>
      <c r="H3" s="11" t="s">
        <v>26</v>
      </c>
      <c r="I3" s="11" t="s">
        <v>25</v>
      </c>
      <c r="J3" s="5" t="s">
        <v>24</v>
      </c>
      <c r="K3" s="5" t="s">
        <v>23</v>
      </c>
      <c r="L3" s="5" t="s">
        <v>22</v>
      </c>
      <c r="M3" s="5" t="s">
        <v>21</v>
      </c>
      <c r="N3" s="5" t="s">
        <v>20</v>
      </c>
      <c r="O3" s="5" t="s">
        <v>19</v>
      </c>
      <c r="Q3" s="5" t="s">
        <v>17</v>
      </c>
      <c r="R3" s="5" t="s">
        <v>18</v>
      </c>
      <c r="S3" s="5" t="s">
        <v>13</v>
      </c>
      <c r="T3" s="5" t="s">
        <v>12</v>
      </c>
      <c r="U3" s="5" t="s">
        <v>11</v>
      </c>
      <c r="V3" s="5" t="s">
        <v>10</v>
      </c>
      <c r="W3" s="5" t="s">
        <v>9</v>
      </c>
      <c r="Y3" s="10" t="s">
        <v>17</v>
      </c>
      <c r="Z3" s="5" t="s">
        <v>16</v>
      </c>
      <c r="AG3" s="5" t="s">
        <v>15</v>
      </c>
      <c r="AH3" s="5" t="s">
        <v>14</v>
      </c>
      <c r="AI3" s="5" t="s">
        <v>13</v>
      </c>
      <c r="AJ3" s="5" t="s">
        <v>12</v>
      </c>
      <c r="AK3" s="5" t="s">
        <v>11</v>
      </c>
      <c r="AL3" s="5" t="s">
        <v>10</v>
      </c>
      <c r="AM3" s="5" t="s">
        <v>9</v>
      </c>
    </row>
    <row r="4" spans="1:40" ht="17.399999999999999" customHeight="1" x14ac:dyDescent="0.3">
      <c r="A4" s="1" t="s">
        <v>8</v>
      </c>
      <c r="B4" s="1">
        <f>SUM(LEN(A4)-LEN(SUBSTITUTE(A4,"mul","")))/LEN("mul")</f>
        <v>123</v>
      </c>
      <c r="C4" s="2" t="str">
        <f>A4&amp;A5&amp;A6&amp;A7&amp;A8&amp;A9</f>
        <v>}}+{where()mul(873,602) mul(954,447)^where()~mul(548,799)-&lt;what()mul(588,631)^who()'@( [mul(143,388)how(445,327))$ select()who()mul(746,719)mul(963,262)}'*+why()&lt;?&amp;/select()don't()[%]% ^^mul(933,492)don't() ^-who()(%how()]mul(583,700))!,where()mul(999,507)](mul(821,504)^%/;:-mul(471,220)who()&amp;'who(161,37)&lt;'mul(843,213),&lt;mul(298,802)-()@how()where()@+[:mul(910,85)'when()($select()%-*mul(532,213)*from()select()$,what()mul(956,380)mul(326,87)mul(243,775)!/:from()&amp;^^mul(118,409)!)what()select()mul(610,89)mul(432,774)from()# from()&lt;mul(400,864):+&amp;mul(957,923)'don't()+select()why()mul(496,383),&amp;why()(-;)+!#mul(79,135)~{mul(500,619),#what(361,47)@&amp;;@+mul(580,98)&lt;&gt;#why():$from()(!mul(660,615):where()mul(596,918)how()[what()how()who()]@mul(594,699)$&gt;$&amp;why()mul(951,813)mul(948,41)]mul(699,225)&gt;mul(840,275):@~^@%^select()mul(695,594)what()-&gt;-mul(409,636)@ {++mul(999,290)when(339,689),[+[+?mul(558,848)how(),what()&amp;}]{mul(344,337)$)$]+,$,,why()do()::select()^:mul(796,16)mul(526,718) mul(66,417)#@&gt;~do()why()from()/select()when():&amp;mul(8,111);!where()do()}@mul(433,239)*}how() {^!do()#^mul(167,905)-&amp;%(mul(979,711)when()]who()'?mul(523,172)[^what(844,455)'what()[/~@mul(928,776)where()]&amp;/mul(587,380)who()/when()how()from(),}#}mul(97,952)select(837,505)~@&gt;~%mul(486,198)^!mul(968,779)do()[mul(206,321);,where()where())how()}/mul(6,867)-&amp;&lt;!*select()mul(615,984)~?who()#&lt;{how()?@mul(617,643){ @,'why()+&gt;what()(mul(683,583)^(mul(244,555)^where()(how()what()?-[,who()mul(827,305);&amp;,!$*?mul(793,452)^ )+(%-where()&lt;mul(318,238)&lt;$-what()mul(802,394)?how()&lt;mul(488,879)do()$}&lt;:&amp;mul(429,358)~how()mul(36,174)mul(87,398)+%what()]mul(822,311)mul(379,261)~when()mul(618,193)@)!))-what()how(645,829)[mul(964,102);who()don't(),[what(),,?select()why()@mul(121,293)select()@who()!mul(770,96)+;%from(467,168)mul(616,890)@%:)[mul(943,145) [from()&amp;where(283,130){*where()mul(649,49)select())mul(877,73)from()do()where()?where()&gt;who()from()@who(){*mul(592,919)/:what():who()mul(213,139)what()$!?*how(934,24)$-who()(mul(661,7)?from(),}/who()mul(876,585)how()why():when()[@@mul(433,918)why()why(),*{who()when()who()mul(144,14/#(&lt;mul(656,306)&amp;what()&amp;{*@%select(709,225)/mul(843,135)who()$[don't()&lt;mul(576,966)^,?&gt;don't()@(@{~why()[who()mul(394,492)where()/mul(508,797)-mul(150,832)+$@why()(why()~mul(527,236)&lt;don't()!#{how()*!,!mul(177,945)'mul(5,181)#!#'&amp;?what()&amp;mul(10,492):%/'*mul(822,748){!*]who()when()&lt;!&lt;mul(21,920)+do()-who()from(505,694)where()from()$who()where()where()/mul(827,561)how()when()mul(770,221)%when()who()mul(872,151)mul(453,84)['&amp;+:mul(258,293)@#,where()mul(264,689)mul(90[mul(94,665)-who()don't()what()&gt;!:@!^&amp;!mul(324&gt;?!from()where())mul(731,184)#(}who()'mul(666,377)how()(;mul(346,141)^select()/@[$how()@]?mul(702,502,^where()&lt;}[mul(872,308)+^!&lt;@from() {:mul(537,974)%when()when()%mul(563,805)select()&gt;how()&gt;^';mul(643,555))where(290,606)who()?mul(656,803),?$/*?when()}@ mul(228,902)~/from(){where()what()&gt;@~mul(849,93)~+select()?-^}&lt;don't()mul(844,117)(when()~,}# /:+mul(24,282)@where()~from()($what()what()*&lt;mul(886,107)[#;mul(725,121) %[&gt;mul(115,425)${what()mul(219,305)how()])from()&lt;mul(401,458)-from()+mul(92,705)}?/,(~+^mul(398,379)why()-!why(){}mul(618,341)how(818,559)'%}~+}'!&lt;mul(128,74)*- &amp;}+[mul(830,201)$when()mul(382,164) /&gt;select()~]~mul(41,659)&lt;'{where():#+)$mul(447,137)where(120,771)$@why()#mul(457,857)&lt;$from()$(who()@?mul(644,914)}mul(936,442);{*(why()mul(804,26);don't()why(),+*how() @:mul(668,778)%select() who() (,where()mul(66,974)^)when():$who()mul(832,615)#mul(572,646)where()how()what()when(673,330)where()when()&amp;/mul(820,446)$why()where()mul(86,788)^~what()'mul(76,413)&amp;'how()mul(616,424)what()select()}from()(/;mul(651,36)!{ mul[*mul(469,702)who()?;mul(331,879)?*from(54,751)who()#+[ mul(182,296)where(607,734){mul(920,190) :mul(660,732)^who()who()*'!mul(3,615)+{why(168,603)when(), mul(254,713); where()*from()~ !!#mul(897,311)]mul(629;what(280,32)&gt;mul(194,563)^&lt;how()when() }#&lt;mul(27,237)?@where()mul(389,541)}'@when()}(*how()mul(671,516)do() ~select()!*']&gt;&amp;mulwho()when()'!what()why()?'}}!mul(414,213)$when()]+{why()mul(606,917)how()*?^,mul(292,543)&gt;mul(326,145)*(&amp;!;^:!#'mul;#@~where()&lt;mul(81,169)mul(436,774)+when()%+where()-[}+mul(425,438)when()/}what()mul(76,978)&gt;%;,from()select()mul(39,372)~[when()what()!+#who()]~mul(905,968from(843,581)(from()from()~what()how()when()mul(768,210)*mul(68,62)mul(777,345%{/select()%mul(458,251));what())how()where()how()when()mul(810,199)&lt;~mul(252,749)don't()mul(915,327)(: mul(608,270)&lt;%[!}-&amp;mul(328,665)from()&gt;*)how()mul(836,471)mul(270,799);(why();&amp;~~mul(598,772)from()&gt;mul(409,297)$mul(469,982)mul(457,665):@&gt;{don't()why()&lt;+,mul(293,172select(816,987)}why()mul(372,420)why()%mul(105,735),&lt;]{mul?{$;&gt;from()what()-$;mul(348,90)from()what()~mul(634,662)^do()$@]*)~,&amp;mul(226,996)when()%]what()!@/&amp;mul(322,135);who() &amp;^select()*&amp;}mul(967,104)from()}'who(701,7)~%[mul(687,163)@:&lt;!how(){^/who()@mul(497,664))@!-(who()&lt;mul(20,274)where(){%&lt;where()?&gt;+:mul(382,128)mul(831,450)mul(485,444)%^what()what()[$what()@}do()-%?'mul(204,152);$'/mul(63,376)mul(387,70)~@'{,':&lt;mul(517,687)@ $^ )why()!mul(865,593)where(918,337)!;mul(786$$'$%why()select()[~$why()mul(667,335)~{+where()who()?from()mul(582,456)%,from()[from()how()mul(927,806)+(]?%mul(460,721)^^;^do(),how()when()select(435,369)}&amp;mul(66[*how();&gt;why()(%{how()&lt;mul(997,260):'do()%::&amp;what()}*who()mul(506,521)'who()%/!why()*&amp;!don't()#@&amp;mul(538,407)'^mul(84,106)'},#^where()%mul(105,225)-what()/how()/from()mul(49,421)@$)[)?why()'#}mul(707,127)@when() &amp;(mul(732,645)'from()'*when()why()from()[who(850,51)?mul(566,427)how()&gt;who()]',from()'how()why()mul(42,665)%'# [}mul(684,645){{%'mul(115,930)mul(552,181)mul(762,163)mul(202,193)+*[mul(525,337)+}-:](?^#mul(466,861)/do()'(;mul(860,319);mul(48,137){when() ~:&lt; &lt;mul(317,942)'~&amp;#how()^mul(66,243)/(from()mul(678,119)when()!when()&gt;from()mul(3,497)?when()&lt; #?^@do()&gt;;/?:mul(522,894)+{+mul(419,20)mul(139,677)where(119,273)*what()[^?mul(563,549)how()&lt;@'%mul(560,434)what()where(),mul(886,302)mul(632,393)*what()!}{mul(769,651)'(mul(267,514)-[how()^:mul(64,902)when()mul(356,352# ;'mul(267,302)#(mul@;~+mul(471,643)!from())!what()from()~mul(429,997)/-mul(401,220)&gt;{]what()what()@select()},mul(294,298)how()mul(230,3)/&amp;what()]&gt;]!how()/mul(888,907)](#&gt;~}+#mul(17,816)/[+when()&gt;from()]^:mul(94,85)#)'{mul(531,103){ {where()what()from()mul(127,712))what()&lt;mul(595,154)~&gt;!%from()'/how()*when(940,337)mul(259,916)+}!-}[mul(703,780++;select()?why()[{mul(221,199)+mul(303,268)$don't()'[what();^mul(542,561);who()&amp;,mul(68,800)[&lt;'{}why()?^from()mul(26,194)?]who():;mul(641,921)#&amp;where()mul(539,571)select()]~%%]when())mul(833,642);mul(209,564)}&lt;^)when()mul(648,430/(#)/?(';where()what()mul(818,526) ]!what()do() &lt;;:mulfrom() @-&lt;select()what(557,962)$%mul(83,808)from()% {)mul(894,523){~?@'&amp;,how()&gt;mul(764,627)#/mul(887,607), do()$(},#^}}from()how()mul(184,287)where()$^mul(859,310){who()how()mul(692,592){&gt;?&amp;mul(223,912)what()^@ {{^@/mul(736,965)$)]];-#@&amp;mul(600,145)~/}*-}how()mul(893,646):where()}mul(205,416)what()from()mul(35,844)mul(94,245))/&lt;#&lt;/$when()who(236,448)mul(943,490)^?*!mul(187,639)select()mul(105,840)#;-;((&amp;,select()mul(495,135)don't()when()(&amp;mul(129,293)}}{~from()]select()*+mul(724,202)mul(540,481)+when()$&gt;&lt;from()?$#mul(604,366)where()why()^select()mul(82,14){]what()##/^mul(661$mul(576,422)!}*mul(968,267)mul(501,251)&lt;[,mul(999-mul(61,600)how()~ how()#&amp;mul(488,199)+})who()# @what()mul(695,154)!{[don't()mul(454,729)what():(&lt;%mul(656,115)from()!]when()when():?,mul(536,421)}select()when()&lt;mul(550,82)(:mul(482,346)}%when()&gt;+mul(189,780)from()how()#&lt; ^don't()why()&amp;who()where(){ &gt;:mul(638,986)*+&lt; ;mul(131,393),how(419,400)*@how()mul(856,729)who()$$[$[select()~&lt;mul(553,105)why(720,700)']mul(780,579)}what()select()who()~//}^mul(811,393))/&lt;#,mul(530,118)@'%&lt;~mul(640,727)'-]:-:]+mul(124,151)~@{why()@/why()mul(523,641)'%select())/mul(70,234)-$#mul(589,488)^:how()(when()mul(66,473)$/!-{from()%]#]mul(417,212)~&gt;{(when()$mul(613,175)}mul(503,337)~)what() mul:!-*}?~who()&lt;mul(709,759)}what()^where()when()!select(820,39)]::mul(884,175):#mul(852,584)&gt;-mul(649,886)+how(738,973)when()[(mul(593,702)where()%%^(]who()mul(456,697)%~^'when()how()mul(789,446)mul(737,439)mul(830,910):&gt;why()when()how()'?]why()&gt;do()#'&amp;why()'from()mul(972,441):mul(157,521)mul(43,224):$who()&gt;select()how()mul(52,740)'mul(136,716)select()mul(613,433)]&gt;$^when()why()where()how();mul(978,314))$mul(695,29)}mul(778,660){how()&lt;+$?mul(402,606)select()+~$do()mul(262,94)how()why()))#'^$@mul}mul(201,86)*select()mul(876,626)why()mul(174,750)where()(from()(mul(433,335)]@mul(29,940) :~what()$}where()select()mul(416,920)^&amp;%&lt;~^mul(276,648)mul(636,17);why()}-}mul(810,73)&lt;@} how():from(900,831)what()mul(241,497)select()when()'&amp;{mul(603,108):[,mul(941,454) $@mul&gt;@&lt;}'[, $mul(510,523)where(), ~];mul(584,102)&lt;when()mul(907,301)]#select()select();{how()select()what()?mul(980,625)select())where(){:^mul(544,917)((how()['who()mul(628,364)who(272,887)@!^@{+~{don't()when() )(from()what()when()-mul(95,412)(mul(127,442)/mul(658,920)from()from())!$&lt;&amp;*mul(45,446)what()where()&amp;![-% (%mul(304};do()why(81,149)#^mul(181,603)where()^;{(! ^;mul(381,353)~@$mul(129,558)where()?from(): mul(573,183&lt;how()*how()(#(mul(626,301))?]/)how()mul(20,851)[$when()*how()mul(42,787)[! )@;:(;mul(98,614)why()mul(692,723)!'&gt;' do()why()&lt;&amp;select(812,485)!mul(538,458)who()why()^'select(){{why()mul(773,196)when()why(713,26){,!do()?why()!when(),?mul(234,541)mul(558]!(%;}'-mul(721,55)(&lt;%@$?mul(856,705]&gt;!#'++why() &gt;#!/usr/bin/perlfrom()mul(147,188)&lt;?$when()+$where()%mul(894,439)&gt;where()what()mul(221,687)/)from()'[{mul(9,723)[{/?who()where()mul(113,227)&gt; ~&gt;$)mul(663,198)&amp;[&gt;#mul(567,600)]when()$@select())(%&lt;&amp;mul(472,423)#when()&gt;(/]select()$;how(511,981)mul(785,371}-how():$where()(?~mul(731,455)mul(810,191);who()(@&gt;,? !$mul(534,231&amp;don't();]why();,#;where()[,mul(190,923) }when()mul &lt;mul(909,876)[*~when()]mul(739,708)select()(@:~)/&lt;@,mul(794,354)&lt;mul(874,298)what()why()$+mul(669,535)&amp;!^mul(260,4))mul(641,230)mul(516,429)'mul(141,983)!}when()select()where()+}[)do()&amp;&gt;:mul(525,573&lt;{what() *$?from()from(){mul(885,340)why()&gt;mul(398,414)?[where()&lt;what()from()^mul(746,645)where(586,97)+'mul(523,150)/%()~how()where(580,13)@mul(446,624),'-mul(605,440),from()$/-where()mul(17,117) &gt;$why()from())mul(988,667)mul(828,197)'why()/%*when()/*mul(799,415)where()]&lt;~ ?&gt;'-don't()^[(' ]%^~%mul(122,243)why();[how(951,959)how(435,882)~*-#don't()why()[what()what()'mul(218,944)!)&amp;&gt;'(where()+mul(686,595)#&amp;when()mul(916,990))what()mul(414,411)&gt;why()&amp;select()!}why() ?&gt;mul(820,386)select()mul(324,473)mul(690,413)!&gt;$why()mul(23,907)who()%&lt;who()))how()^mul(65,111)where()^$mul(793,643)&amp;who() mul(481,441)+&lt;mul(796,772)#^mul(827,58)]{where()*#&gt;mul(579,551)where()when()how()?~&amp;@-why()&gt;mul(359,283)[don't() }mul(238,664)!]~^^#(why()mul(128,702)mul(750,811)what()',do()'@where()select()from(),/+&amp;mul(640,613),&amp;%+why()^from()from()*mul(314~${~*how()?what() mul(593,269)who()*mul(865,609)what()@~$+mul(784,462))],;;'what(){mul(902,580)when()&lt;{~ ?&gt;~how()mul(22,360)]mul(650,584)#select()!(why()/;+when()mul(173,450)where()mul(126,232)(?@/^how()why()who()mul(148,272)&amp;?when()where()]mul(93,105)?!}!:@!mul(428,270)- where(179,717)&gt;@!-,how()why()don't()!where()who()$:&lt;mul(439,76)*,^mul~mul(69,32)!how()}**what()mul(496,817)when()*how()^+~how()from()mul{]&amp;when()-:}why(540,134)&gt;mul(472,276)&lt;'&amp;where()mul(334,580)'/-?+;(-mul(78,731)select()mul(584,89)*/&gt;don't()/;''~how()?&lt;mul(106,855)']mul(996,656){%:mul(873,777);how()(:#mulwhere(939,627)#^&gt;&lt;mul(186,441)when()+?who()'$mul(297,888)how()%'?:-{&amp;mul(291,979)}&gt;# how(261,707)$],mul(983,656)*&gt; mul(340,628)]*][[/mul(193,206)(})~mul*/-#mul(976,903)%#why()$}-&amp;mul(734,303)what()[from()*-/why()do()&amp;why()!*]@from()&amp;when()mul(339,902)from()([,[*^?how()mul(2,449)when()how()why()mul(799,379)-!#-mul(704,107)mul(205,807) :mul(787,710)mul(575,659)when(),];~'!mul(755,669){+&amp;%$-&lt;mul(533,448);#from()how()$what()-don't()from()] )mul(663,118)$from()$;who()do()#from()*?from()%mul(521,701/how()mul(357,734)who()from()+select()who()(*{%:mul(900,877)[{mul(276,197)!how()who()}$}?mul}$:why()who()who()mul(635,783)mul(276,497)[select()how()select()&gt;,where()}# mul(555,644);^who()!}mul(341:@#{mul(135,278)where()how()what();where()mul(439,633),]$how()why()mul(708,508)where()%{why(744,659)mul(700--(why()*%/where()#&lt;@don't()$?mul(39what(),#})$ select()how()~mul(847,132){)what(134,971)what(336,162))&amp;/what()mul(470,625)#mul(275,789)where()&lt;]mul(15,846)when()from()mul(21,575)%from()^&lt;from()@-}from()*mul(437,525))+!~{select()don't()&gt;when()when() ~(+select()what()mul(554,360)from()]~mul(785,136)}%#:?mul(117,254)who()do()% %;%-from(747,86)how()^/mul(313,607)why()mul(678,806),(mul(226,595)#%mul(415,823)']mul(873,709)#;select()'&lt;&gt; *mul(121,496)why()who()what()?where()mul(590,916)',/@what()how()?%mul(477,943)when()who()/';%mul(654,383)select()*why()'^select()]select()&amp;mul(433,312);//~++what()&amp;&lt;?do()who()^&amp;from()#how();[[#mul(512,521)%&gt;![]mul(532,452) +*&lt;@;mul(470,836why()who()select()#when()select()where()from(812,299)&lt;/mul(987,617)when()&amp;%;mul(85,662) select()select()*?&gt;mul(469,324) select()why(){mul(891,321);'&amp;$%@{mul(792,73)$$[who()&gt;[[from():mul&gt;why()?how()mul(522,233)([%select()mul(195,940)&amp;mul(368,872)~}{who();!!&gt;^^mul(920,394)^,select():?!%[mul(477,578): what()~!/select())who()/mul(976,739)&gt;;who()who(43,925)&amp;when()&gt;&gt;;+mul(857,247) mul(442,620){;mul(393,289)-!*mul(848,511)?how()}@mul(290,212))(~+#~:mul(150]*/&gt;who()[&gt;?:&lt;mul(289,261)&gt;&lt;]*[;+what()where()mul(307,698);;from()~%;where(84,170)[${mul(158,165):[what()^select()mul(977,383)'*@&lt;! )mul(188,493)mul(566,212)&amp;,who()]do()mul(644,488)how())+]~who()where()mul(113,502)mul(306,625),] ;/#&amp;$;who()mul(418,801)#&gt;&gt;/;:mul(920,657)*how()when()mul(816,293)select()~$+^+mul(420,667);(^where());&lt;from()[,do()'where()/!where()&amp;?when()&gt;mul(402,31)]mul(272,313)^&gt;mul(161,164)@$&lt;mulfrom()$when()&lt;mul(718,501)+-who()mul(960,325);who()&amp;{?mul(615,493)select(){]when())#{from(465,35)mul(905,145){[,&amp;&gt;$mul(260,136)&amp;@}* &gt; -mul(380,442)^#*!don't())?(;@mul(209/%(&gt;,how()^mul(423,410)from()-mul(381,141)+~-)mul(674,158)^:what()&gt;(^)who()mul*^,mul(74,315)!-),mul(341,503)where()/;*)why()),what()&amp;mul(624,435)mul(880,482)}where():&lt;select():^&gt;]why()mul(367,134)when()(when()mul(166,251)@+,who(),mul(610,271)+&gt;)(mul(455,461)&gt;&amp;@-()from()+]mul(232,944)&amp;,@when()@]mul(523,215)mul(876,836) mul(335,254)&lt;#-{from()^mul(153,522)what(52,828)who()where()from()from()@&amp;&gt;$mul,!&amp;&lt;don't()why(768,688)what(),);'mul(851,963)]&amp;;(mul(45,859)[;select() ~%]when()!where()mul(807,272):#from()mul(943,224)?$mul(415,924)'from()?mul(204,131)}(&gt;what()^&gt;*{'mul(670,505)$mul&amp;&amp;/&lt;don't()why()@#(*~/:&gt;(mul(672,267)mul(540,120)&lt;$[-&gt;!}mul(234,539)!%]who(){mul(30,143)*mul(545,761)where()'!how(935,4)who()%'{~mul(673,752why()what()^:mul(111,407)from()}mul(860,90)#who()/^!how()-!{!mul(217,327)what()!'where()mul(729,143)where()!how()#mul(362,874)$how()how()-&gt;who()~^mul(315,718)!'-@~mul(206,449):/[??#mul(185,796)]~mul(597,268);) &gt;select()from()?)&lt;*mul(516,734)when()what()select()#$select()-?,$mul(366,627)%*{mul(62,39)&lt;what()mul(511,35)mul(879,156)-@]from()#select()mul(247,306;!mul(183,347)&lt;mul(638,126)+&gt;^/$from()+mul(250+~select()!from(){mul(981,151)#}mul(92,876))how()who(363,963)mul(827,341)::how()~&amp;mul(407,705)#+&gt;mul(576,849)mul(482,236)(^* who(),what()mul(544%who()('&gt;*!$@,}mul(113,286)when()'from(685,677)do()%from(614,566)-select()$,-mul(234,452)}&gt;[&amp;who(){#from()&amp;don't()why()select(645,338):why(840,833)+#mul(874,529)}&gt;what()select()why()mul(168,89)}{*when()}do()when()*?$^;?)]mul(811,383)!mul(770,725):!*#[from()from()from(487,367);:mul(564,858)(mul(248,563)*:;'mul??mul(254,676)+where()from()?'[){ how()mul(250,339))'!')where()&lt;?mul(410,838)(where()@mul(102,412)where()mul(173,786)-![mul(92,40)mul(888,277)'from()do()mul(390,731)@what()who()@%@who()&amp;&amp;?mul(930,981)&gt;}from()why()-*!mul(740,619)~$when(370,81)where()%-#;^mul(291;^&lt;-mul(266,422)@%select()/why() [mul(794,513)where()&gt;{+mul(944,970)!why();mul(968,484)&lt;from(),:&gt;/what()who()mul(285,45)when()who()^when(),mul(728,164),#/[)mul(568,114)%@:select() /*!mul(763,536)?@mul(506,503))do()@)^/mul(763,386)/why()how()from(417,323)&gt;what() where()mul(260,628)?:'+$why()+@&amp;mul(697,677)+]when():mul(246,278) $mul(48,81)mul(266,777)who())@*~!?)# mul(843,750}&lt;what()+&gt;mul(940,128)mul(477,389)who()}:when())&lt;[when()mul(838,845)&lt;when():;*mul(248,817)don't()+what();&amp;/)?&gt;~mul(464,153)why(166,536)&lt;/mul(893,554)when()what(){how()&amp;how()mul(505,410)&gt;{/&amp;,~mul(282,701) -!?from();mul(101,631)from()&lt;when()*&amp;mul(187,146)[@+&lt;?{[#{&lt;mul(424,344);!?why()%}what()*&gt;/mul(236,985)why(458,58)do()&amp;*&amp;&gt;how()mul(310,399) :{}^]don't()-&gt;when()from()+ mul(389,902)why(301,687) select()}&gt; who()mul(265,840)/mul(652,469)~where()what(){&lt;&gt;~mul(792,402);&gt; $+@select(747,467)[mul(720,836)%what(984,399)[select()-+{}}mul(757,143)-)%from(),)+where()mul(810,426)&lt;!*mul(596,769)$ from():]how()mul(67,919)why(485,244)]why(506,511)how()&amp;,[{% mul(794,823)!/]-*&lt;'where()mul(872~%how()$&lt;}]}why()~how()mul(413,924)?+[&gt;#who()^@mul,]-'(^^&gt;mul(30,409),)from() mul(916,685what()how(){#/mul(494,862)&lt;who()&gt;-&amp;mul(814,480)!&amp;what()*mul(315,311)!when() @}*%#mul(571,122)~*mul(717,593))/mul(633,314)&lt;^{[%{when()-&lt;?mul(26,322)mul(792;(?:^mul(592,551)&amp;from();%]who()&lt;,$mul(276,734):mul(478,513)]when(637,697){mul&amp; @+'[+mul(848,726)how(),from()-!&amp;,&lt;#do() !-mul(412,173)?''when()select()select();'when()mul(306,288)(!when()how(100,872)&gt;,{mul(571,721):?,@~]select(){mul(275,614),select()/&lt;mul(611,515)how(635,963)select()mul(741,23),select()why()^who(),%#}mul(144,95,why()why()~@^when(555,987)(mul(380,549)%:%&amp;how()&amp;mul(19,964)where(),*why()#%mul(194,612)}+^when()[mul(491,112))//what(){#-:mul(239,5){,?&gt;{[@mul(965,299)what()?$where()(#,(?mul(642,519),+~*]mul(830,103)/]:mul(61,609)from()where()from()([mul(808,331)$mul(885,259)))}mul(902,561)$*:mul(320,613)[where()}mul(374,288)~mul(720,106)*~$mul(967,879),who()[what()}when()/#$-mul(81,187)mul(368,22);];&lt;}- @{mul(882,60)#select()when()mul(144,567);what(),,#don't(){+from()'! mul(608,319)(mul(225,187)%%(&lt;,@#+%select()mul(130,278)!select()}&lt;when()where()mul(348,92):from()[mul(483,262)don't()*+&amp;&amp;}$mul(500,537)%(what()what()select()+^;do()where()]][/%select()*mul(118,729)+;[!why()$@mul(155,535)}from() ^*#select()how()'mul(685,187))*don't()what()(&amp;/{mul(174,160)&amp;+~:mul(100,237)&lt;mul(234,939)mul(328,456)mul(427,653))where()why(162,868){,mul(58,176)'}why()from()&amp;'why()?mul(449,899)-when()how()what()do()#,{,mul(529,302)?&lt;]'*how()who()*~mul(382,944)mul(348,909),]/mul(595,427)-:mul(896,889);-)&lt;mul(212,114)[}what()#how()mul(796,319)from()who()mul(161,245),mul(211,760)]*&lt;+]where()mul(239,248)%mul(634,18)mul(501,317)why()#[who(542,47)what()*who()~,$do()}} where()*~[when(696,90)~when()mul(736,662)*%-$select()-$who()/mul(297,910) when()(when()&gt;'@mul(353,117)]%'-^/?^mul(799,639)who()}-[&gt;mul(495,249)where()*,&lt;mul(79,846)how();mul(317,217)/mul(699,367)when()}mul(390,121),![,+]//,don't()@{what()(&gt;)~mul(768,867)why()mul(305,695)don't()?]where() ?#@(who()mul(748,367)why()+[mul(643,18)})mul(343,964){'mul(287,548)?%do(),from();/?';select()mul(97,411)!!{?mul(105,759)how())how()@mul(663,882)~[mul(709,411)@;]what()when()mul(267,470)&amp;mul(857,988)}/]^-select()]^:where()do()why()where()]-*mul(566,77)-&lt;why()how();:~&gt;#mul(217,308)what()~~(select()&amp;mul(462,131)&lt;+]%how()select()mul(242,763)'select()why()mul(316,185)[when()/ mul(584,440)from()</v>
      </c>
      <c r="D4" s="2">
        <v>1</v>
      </c>
      <c r="E4" s="2">
        <f>SEARCH("mul",$C$4,D4)</f>
        <v>12</v>
      </c>
      <c r="F4" s="2" t="str">
        <f>MID($C$4,E4,$F$1)</f>
        <v>mul(873,602) mu</v>
      </c>
      <c r="G4" s="3">
        <f>SEARCH("(",F4)</f>
        <v>4</v>
      </c>
      <c r="H4" s="3">
        <f>SEARCH(",",F4)</f>
        <v>8</v>
      </c>
      <c r="I4" s="3">
        <f>SEARCH(")",F4)</f>
        <v>12</v>
      </c>
      <c r="J4" s="2" t="str">
        <f>IF(OR(ISERROR(G4),ISERROR(H4),ISERROR(I4)),"CORRUPT!","")</f>
        <v/>
      </c>
      <c r="K4" s="2" t="str">
        <f>IF(J4&lt;&gt;"","",MID(F4, G4+1, H4-G4-1))</f>
        <v>873</v>
      </c>
      <c r="L4" s="2">
        <f>IF(J4&lt;&gt;"","",LEN(K4))</f>
        <v>3</v>
      </c>
      <c r="M4" s="2" t="str">
        <f>IF(J4&lt;&gt;"","",MID(F4, H4+1, I4-H4-1))</f>
        <v>602</v>
      </c>
      <c r="N4" s="2">
        <f>IF(J4&lt;&gt;"","",LEN(M4))</f>
        <v>3</v>
      </c>
      <c r="O4" s="2">
        <f>IF(J4&lt;&gt;"","",K4*M4)</f>
        <v>525546</v>
      </c>
      <c r="Q4" s="4" t="str">
        <f>_xlfn.LET(
_xlpm.a, _xlfn.CONCAT($A$4:$A$9),
_xlpm.a)</f>
        <v>}}+{where()mul(873,602) mul(954,447)^where()~mul(548,799)-&lt;what()mul(588,631)^who()'@( [mul(143,388)how(445,327))$ select()who()mul(746,719)mul(963,262)}'*+why()&lt;?&amp;/select()don't()[%]% ^^mul(933,492)don't() ^-who()(%how()]mul(583,700))!,where()mul(999,507)](mul(821,504)^%/;:-mul(471,220)who()&amp;'who(161,37)&lt;'mul(843,213),&lt;mul(298,802)-()@how()where()@+[:mul(910,85)'when()($select()%-*mul(532,213)*from()select()$,what()mul(956,380)mul(326,87)mul(243,775)!/:from()&amp;^^mul(118,409)!)what()select()mul(610,89)mul(432,774)from()# from()&lt;mul(400,864):+&amp;mul(957,923)'don't()+select()why()mul(496,383),&amp;why()(-;)+!#mul(79,135)~{mul(500,619),#what(361,47)@&amp;;@+mul(580,98)&lt;&gt;#why():$from()(!mul(660,615):where()mul(596,918)how()[what()how()who()]@mul(594,699)$&gt;$&amp;why()mul(951,813)mul(948,41)]mul(699,225)&gt;mul(840,275):@~^@%^select()mul(695,594)what()-&gt;-mul(409,636)@ {++mul(999,290)when(339,689),[+[+?mul(558,848)how(),what()&amp;}]{mul(344,337)$)$]+,$,,why()do()::select()^:mul(796,16)mul(526,718) mul(66,417)#@&gt;~do()why()from()/select()when():&amp;mul(8,111);!where()do()}@mul(433,239)*}how() {^!do()#^mul(167,905)-&amp;%(mul(979,711)when()]who()'?mul(523,172)[^what(844,455)'what()[/~@mul(928,776)where()]&amp;/mul(587,380)who()/when()how()from(),}#}mul(97,952)select(837,505)~@&gt;~%mul(486,198)^!mul(968,779)do()[mul(206,321);,where()where())how()}/mul(6,867)-&amp;&lt;!*select()mul(615,984)~?who()#&lt;{how()?@mul(617,643){ @,'why()+&gt;what()(mul(683,583)^(mul(244,555)^where()(how()what()?-[,who()mul(827,305);&amp;,!$*?mul(793,452)^ )+(%-where()&lt;mul(318,238)&lt;$-what()mul(802,394)?how()&lt;mul(488,879)do()$}&lt;:&amp;mul(429,358)~how()mul(36,174)mul(87,398)+%what()]mul(822,311)mul(379,261)~when()mul(618,193)@)!))-what()how(645,829)[mul(964,102);who()don't(),[what(),,?select()why()@mul(121,293)select()@who()!mul(770,96)+;%from(467,168)mul(616,890)@%:)[mul(943,145) [from()&amp;where(283,130){*where()mul(649,49)select())mul(877,73)from()do()where()?where()&gt;who()from()@who(){*mul(592,919)/:what():who()mul(213,139)what()$!?*how(934,24)$-who()(mul(661,7)?from(),}/who()mul(876,585)how()why():when()[@@mul(433,918)why()why(),*{who()when()who()mul(144,14/#(&lt;mul(656,306)&amp;what()&amp;{*@%select(709,225)/mul(843,135)who()$[don't()&lt;mul(576,966)^,?&gt;don't()@(@{~why()[who()mul(394,492)where()/mul(508,797)-mul(150,832)+$@why()(why()~mul(527,236)&lt;don't()!#{how()*!,!mul(177,945)'mul(5,181)#!#'&amp;?what()&amp;mul(10,492):%/'*mul(822,748){!*]who()when()&lt;!&lt;mul(21,920)+do()-who()from(505,694)where()from()$who()where()where()/mul(827,561)how()when()mul(770,221)%when()who()mul(872,151)mul(453,84)['&amp;+:mul(258,293)@#,where()mul(264,689)mul(90[mul(94,665)-who()don't()what()&gt;!:@!^&amp;!mul(324&gt;?!from()where())mul(731,184)#(}who()'mul(666,377)how()(;mul(346,141)^select()/@[$how()@]?mul(702,502,^where()&lt;}[mul(872,308)+^!&lt;@from() {:mul(537,974)%when()when()%mul(563,805)select()&gt;how()&gt;^';mul(643,555))where(290,606)who()?mul(656,803),?$/*?when()}@ mul(228,902)~/from(){where()what()&gt;@~mul(849,93)~+select()?-^}&lt;don't()mul(844,117)(when()~,}# /:+mul(24,282)@where()~from()($what()what()*&lt;mul(886,107)[#;mul(725,121) %[&gt;mul(115,425)${what()mul(219,305)how()])from()&lt;mul(401,458)-from()+mul(92,705)}?/,(~+^mul(398,379)why()-!why(){}mul(618,341)how(818,559)'%}~+}'!&lt;mul(128,74)*- &amp;}+[mul(830,201)$when()mul(382,164) /&gt;select()~]~mul(41,659)&lt;'{where():#+)$mul(447,137)where(120,771)$@why()#mul(457,857)&lt;$from()$(who()@?mul(644,914)}mul(936,442);{*(why()mul(804,26);don't()why(),+*how() @:mul(668,778)%select() who() (,where()mul(66,974)^)when():$who()mul(832,615)#mul(572,646)where()how()what()when(673,330)where()when()&amp;/mul(820,446)$why()where()mul(86,788)^~what()'mul(76,413)&amp;'how()mul(616,424)what()select()}from()(/;mul(651,36)!{ mul[*mul(469,702)who()?;mul(331,879)?*from(54,751)who()#+[ mul(182,296)where(607,734){mul(920,190) :mul(660,732)^who()who()*'!mul(3,615)+{why(168,603)when(), mul(254,713); where()*from()~ !!#mul(897,311)]mul(629;what(280,32)&gt;mul(194,563)^&lt;how()when() }#&lt;mul(27,237)?@where()mul(389,541)}'@when()}(*how()mul(671,516)do() ~select()!*']&gt;&amp;mulwho()when()'!what()why()?'}}!mul(414,213)$when()]+{why()mul(606,917)how()*?^,mul(292,543)&gt;mul(326,145)*(&amp;!;^:!#'mul;#@~where()&lt;mul(81,169)mul(436,774)+when()%+where()-[}+mul(425,438)when()/}what()mul(76,978)&gt;%;,from()select()mul(39,372)~[when()what()!+#who()]~mul(905,968from(843,581)(from()from()~what()how()when()mul(768,210)*mul(68,62)mul(777,345%{/select()%mul(458,251));what())how()where()how()when()mul(810,199)&lt;~mul(252,749)don't()mul(915,327)(: mul(608,270)&lt;%[!}-&amp;mul(328,665)from()&gt;*)how()mul(836,471)mul(270,799);(why();&amp;~~mul(598,772)from()&gt;mul(409,297)$mul(469,982)mul(457,665):@&gt;{don't()why()&lt;+,mul(293,172select(816,987)}why()mul(372,420)why()%mul(105,735),&lt;]{mul?{$;&gt;from()what()-$;mul(348,90)from()what()~mul(634,662)^do()$@]*)~,&amp;mul(226,996)when()%]what()!@/&amp;mul(322,135);who() &amp;^select()*&amp;}mul(967,104)from()}'who(701,7)~%[mul(687,163)@:&lt;!how(){^/who()@mul(497,664))@!-(who()&lt;mul(20,274)where(){%&lt;where()?&gt;+:mul(382,128)mul(831,450)mul(485,444)%^what()what()[$what()@}do()-%?'mul(204,152);$'/mul(63,376)mul(387,70)~@'{,':&lt;mul(517,687)@ $^ )why()!mul(865,593)where(918,337)!;mul(786$$'$%why()select()[~$why()mul(667,335)~{+where()who()?from()mul(582,456)%,from()[from()how()mul(927,806)+(]?%mul(460,721)^^;^do(),how()when()select(435,369)}&amp;mul(66[*how();&gt;why()(%{how()&lt;mul(997,260):'do()%::&amp;what()}*who()mul(506,521)'who()%/!why()*&amp;!don't()#@&amp;mul(538,407)'^mul(84,106)'},#^where()%mul(105,225)-what()/how()/from()mul(49,421)@$)[)?why()'#}mul(707,127)@when() &amp;(mul(732,645)'from()'*when()why()from()[who(850,51)?mul(566,427)how()&gt;who()]',from()'how()why()mul(42,665)%'# [}mul(684,645){{%'mul(115,930)mul(552,181)mul(762,163)mul(202,193)+*[mul(525,337)+}-:](?^#mul(466,861)/do()'(;mul(860,319);mul(48,137){when() ~:&lt; &lt;mul(317,942)'~&amp;#how()^mul(66,243)/(from()mul(678,119)when()!when()&gt;from()mul(3,497)?when()&lt; #?^@do()&gt;;/?:mul(522,894)+{+mul(419,20)mul(139,677)where(119,273)*what()[^?mul(563,549)how()&lt;@'%mul(560,434)what()where(),mul(886,302)mul(632,393)*what()!}{mul(769,651)'(mul(267,514)-[how()^:mul(64,902)when()mul(356,352# ;'mul(267,302)#(mul@;~+mul(471,643)!from())!what()from()~mul(429,997)/-mul(401,220)&gt;{]what()what()@select()},mul(294,298)how()mul(230,3)/&amp;what()]&gt;]!how()/mul(888,907)](#&gt;~}+#mul(17,816)/[+when()&gt;from()]^:mul(94,85)#)'{mul(531,103){ {where()what()from()mul(127,712))what()&lt;mul(595,154)~&gt;!%from()'/how()*when(940,337)mul(259,916)+}!-}[mul(703,780++;select()?why()[{mul(221,199)+mul(303,268)$don't()'[what();^mul(542,561);who()&amp;,mul(68,800)[&lt;'{}why()?^from()mul(26,194)?]who():;mul(641,921)#&amp;where()mul(539,571)select()]~%%]when())mul(833,642);mul(209,564)}&lt;^)when()mul(648,430/(#)/?(';where()what()mul(818,526) ]!what()do() &lt;;:mulfrom() @-&lt;select()what(557,962)$%mul(83,808)from()% {)mul(894,523){~?@'&amp;,how()&gt;mul(764,627)#/mul(887,607), do()$(},#^}}from()how()mul(184,287)where()$^mul(859,310){who()how()mul(692,592){&gt;?&amp;mul(223,912)what()^@ {{^@/mul(736,965)$)]];-#@&amp;mul(600,145)~/}*-}how()mul(893,646):where()}mul(205,416)what()from()mul(35,844)mul(94,245))/&lt;#&lt;/$when()who(236,448)mul(943,490)^?*!mul(187,639)select()mul(105,840)#;-;((&amp;,select()mul(495,135)don't()when()(&amp;mul(129,293)}}{~from()]select()*+mul(724,202)mul(540,481)+when()$&gt;&lt;from()?$#mul(604,366)where()why()^select()mul(82,14){]what()##/^mul(661$mul(576,422)!}*mul(968,267)mul(501,251)&lt;[,mul(999-mul(61,600)how()~ how()#&amp;mul(488,199)+})who()# @what()mul(695,154)!{[don't()mul(454,729)what():(&lt;%mul(656,115)from()!]when()when():?,mul(536,421)}select()when()&lt;mul(550,82)(:mul(482,346)}%when()&gt;+mul(189,780)from()how()#&lt; ^don't()why()&amp;who()where(){ &gt;:mul(638,986)*+&lt; ;mul(131,393),how(419,400)*@how()mul(856,729)who()$$[$[select()~&lt;mul(553,105)why(720,700)']mul(780,579)}what()select()who()~//}^mul(811,393))/&lt;#,mul(530,118)@'%&lt;~mul(640,727)'-]:-:]+mul(124,151)~@{why()@/why()mul(523,641)'%select())/mul(70,234)-$#mul(589,488)^:how()(when()mul(66,473)$/!-{from()%]#]mul(417,212)~&gt;{(when()$mul(613,175)}mul(503,337)~)what() mul:!-*}?~who()&lt;mul(709,759)}what()^where()when()!select(820,39)]::mul(884,175):#mul(852,584)&gt;-mul(649,886)+how(738,973)when()[(mul(593,702)where()%%^(]who()mul(456,697)%~^'when()how()mul(789,446)mul(737,439)mul(830,910):&gt;why()when()how()'?]why()&gt;do()#'&amp;why()'from()mul(972,441):mul(157,521)mul(43,224):$who()&gt;select()how()mul(52,740)'mul(136,716)select()mul(613,433)]&gt;$^when()why()where()how();mul(978,314))$mul(695,29)}mul(778,660){how()&lt;+$?mul(402,606)select()+~$do()mul(262,94)how()why()))#'^$@mul}mul(201,86)*select()mul(876,626)why()mul(174,750)where()(from()(mul(433,335)]@mul(29,940) :~what()$}where()select()mul(416,920)^&amp;%&lt;~^mul(276,648)mul(636,17);why()}-}mul(810,73)&lt;@} how():from(900,831)what()mul(241,497)select()when()'&amp;{mul(603,108):[,mul(941,454) $@mul&gt;@&lt;}'[, $mul(510,523)where(), ~];mul(584,102)&lt;when()mul(907,301)]#select()select();{how()select()what()?mul(980,625)select())where(){:^mul(544,917)((how()['who()mul(628,364)who(272,887)@!^@{+~{don't()when() )(from()what()when()-mul(95,412)(mul(127,442)/mul(658,920)from()from())!$&lt;&amp;*mul(45,446)what()where()&amp;![-% (%mul(304};do()why(81,149)#^mul(181,603)where()^;{(! ^;mul(381,353)~@$mul(129,558)where()?from(): mul(573,183&lt;how()*how()(#(mul(626,301))?]/)how()mul(20,851)[$when()*how()mul(42,787)[! )@;:(;mul(98,614)why()mul(692,723)!'&gt;' do()why()&lt;&amp;select(812,485)!mul(538,458)who()why()^'select(){{why()mul(773,196)when()why(713,26){,!do()?why()!when(),?mul(234,541)mul(558]!(%;}'-mul(721,55)(&lt;%@$?mul(856,705]&gt;!#'++why() &gt;#!/usr/bin/perlfrom()mul(147,188)&lt;?$when()+$where()%mul(894,439)&gt;where()what()mul(221,687)/)from()'[{mul(9,723)[{/?who()where()mul(113,227)&gt; ~&gt;$)mul(663,198)&amp;[&gt;#mul(567,600)]when()$@select())(%&lt;&amp;mul(472,423)#when()&gt;(/]select()$;how(511,981)mul(785,371}-how():$where()(?~mul(731,455)mul(810,191);who()(@&gt;,? !$mul(534,231&amp;don't();]why();,#;where()[,mul(190,923) }when()mul &lt;mul(909,876)[*~when()]mul(739,708)select()(@:~)/&lt;@,mul(794,354)&lt;mul(874,298)what()why()$+mul(669,535)&amp;!^mul(260,4))mul(641,230)mul(516,429)'mul(141,983)!}when()select()where()+}[)do()&amp;&gt;:mul(525,573&lt;{what() *$?from()from(){mul(885,340)why()&gt;mul(398,414)?[where()&lt;what()from()^mul(746,645)where(586,97)+'mul(523,150)/%()~how()where(580,13)@mul(446,624),'-mul(605,440),from()$/-where()mul(17,117) &gt;$why()from())mul(988,667)mul(828,197)'why()/%*when()/*mul(799,415)where()]&lt;~ ?&gt;'-don't()^[(' ]%^~%mul(122,243)why();[how(951,959)how(435,882)~*-#don't()why()[what()what()'mul(218,944)!)&amp;&gt;'(where()+mul(686,595)#&amp;when()mul(916,990))what()mul(414,411)&gt;why()&amp;select()!}why() ?&gt;mul(820,386)select()mul(324,473)mul(690,413)!&gt;$why()mul(23,907)who()%&lt;who()))how()^mul(65,111)where()^$mul(793,643)&amp;who() mul(481,441)+&lt;mul(796,772)#^mul(827,58)]{where()*#&gt;mul(579,551)where()when()how()?~&amp;@-why()&gt;mul(359,283)[don't() }mul(238,664)!]~^^#(why()mul(128,702)mul(750,811)what()',do()'@where()select()from(),/+&amp;mul(640,613),&amp;%+why()^from()from()*mul(314~${~*how()?what() mul(593,269)who()*mul(865,609)what()@~$+mul(784,462))],;;'what(){mul(902,580)when()&lt;{~ ?&gt;~how()mul(22,360)]mul(650,584)#select()!(why()/;+when()mul(173,450)where()mul(126,232)(?@/^how()why()who()mul(148,272)&amp;?when()where()]mul(93,105)?!}!:@!mul(428,270)- where(179,717)&gt;@!-,how()why()don't()!where()who()$:&lt;mul(439,76)*,^mul~mul(69,32)!how()}**what()mul(496,817)when()*how()^+~how()from()mul{]&amp;when()-:}why(540,134)&gt;mul(472,276)&lt;'&amp;where()mul(334,580)'/-?+;(-mul(78,731)select()mul(584,89)*/&gt;don't()/;''~how()?&lt;mul(106,855)']mul(996,656){%:mul(873,777);how()(:#mulwhere(939,627)#^&gt;&lt;mul(186,441)when()+?who()'$mul(297,888)how()%'?:-{&amp;mul(291,979)}&gt;# how(261,707)$],mul(983,656)*&gt; mul(340,628)]*][[/mul(193,206)(})~mul*/-#mul(976,903)%#why()$}-&amp;mul(734,303)what()[from()*-/why()do()&amp;why()!*]@from()&amp;when()mul(339,902)from()([,[*^?how()mul(2,449)when()how()why()mul(799,379)-!#-mul(704,107)mul(205,807) :mul(787,710)mul(575,659)when(),];~'!mul(755,669){+&amp;%$-&lt;mul(533,448);#from()how()$what()-don't()from()] )mul(663,118)$from()$;who()do()#from()*?from()%mul(521,701/how()mul(357,734)who()from()+select()who()(*{%:mul(900,877)[{mul(276,197)!how()who()}$}?mul}$:why()who()who()mul(635,783)mul(276,497)[select()how()select()&gt;,where()}# mul(555,644);^who()!}mul(341:@#{mul(135,278)where()how()what();where()mul(439,633),]$how()why()mul(708,508)where()%{why(744,659)mul(700--(why()*%/where()#&lt;@don't()$?mul(39what(),#})$ select()how()~mul(847,132){)what(134,971)what(336,162))&amp;/what()mul(470,625)#mul(275,789)where()&lt;]mul(15,846)when()from()mul(21,575)%from()^&lt;from()@-}from()*mul(437,525))+!~{select()don't()&gt;when()when() ~(+select()what()mul(554,360)from()]~mul(785,136)}%#:?mul(117,254)who()do()% %;%-from(747,86)how()^/mul(313,607)why()mul(678,806),(mul(226,595)#%mul(415,823)']mul(873,709)#;select()'&lt;&gt; *mul(121,496)why()who()what()?where()mul(590,916)',/@what()how()?%mul(477,943)when()who()/';%mul(654,383)select()*why()'^select()]select()&amp;mul(433,312);//~++what()&amp;&lt;?do()who()^&amp;from()#how();[[#mul(512,521)%&gt;![]mul(532,452) +*&lt;@;mul(470,836why()who()select()#when()select()where()from(812,299)&lt;/mul(987,617)when()&amp;%;mul(85,662) select()select()*?&gt;mul(469,324) select()why(){mul(891,321);'&amp;$%@{mul(792,73)$$[who()&gt;[[from():mul&gt;why()?how()mul(522,233)([%select()mul(195,940)&amp;mul(368,872)~}{who();!!&gt;^^mul(920,394)^,select():?!%[mul(477,578): what()~!/select())who()/mul(976,739)&gt;;who()who(43,925)&amp;when()&gt;&gt;;+mul(857,247) mul(442,620){;mul(393,289)-!*mul(848,511)?how()}@mul(290,212))(~+#~:mul(150]*/&gt;who()[&gt;?:&lt;mul(289,261)&gt;&lt;]*[;+what()where()mul(307,698);;from()~%;where(84,170)[${mul(158,165):[what()^select()mul(977,383)'*@&lt;! )mul(188,493)mul(566,212)&amp;,who()]do()mul(644,488)how())+]~who()where()mul(113,502)mul(306,625),] ;/#&amp;$;who()mul(418,801)#&gt;&gt;/;:mul(920,657)*how()when()mul(816,293)select()~$+^+mul(420,667);(^where());&lt;from()[,do()'where()/!where()&amp;?when()&gt;mul(402,31)]mul(272,313)^&gt;mul(161,164)@$&lt;mulfrom()$when()&lt;mul(718,501)+-who()mul(960,325);who()&amp;{?mul(615,493)select(){]when())#{from(465,35)mul(905,145){[,&amp;&gt;$mul(260,136)&amp;@}* &gt; -mul(380,442)^#*!don't())?(;@mul(209/%(&gt;,how()^mul(423,410)from()-mul(381,141)+~-)mul(674,158)^:what()&gt;(^)who()mul*^,mul(74,315)!-),mul(341,503)where()/;*)why()),what()&amp;mul(624,435)mul(880,482)}where():&lt;select():^&gt;]why()mul(367,134)when()(when()mul(166,251)@+,who(),mul(610,271)+&gt;)(mul(455,461)&gt;&amp;@-()from()+]mul(232,944)&amp;,@when()@]mul(523,215)mul(876,836) mul(335,254)&lt;#-{from()^mul(153,522)what(52,828)who()where()from()from()@&amp;&gt;$mul,!&amp;&lt;don't()why(768,688)what(),);'mul(851,963)]&amp;;(mul(45,859)[;select() ~%]when()!where()mul(807,272):#from()mul(943,224)?$mul(415,924)'from()?mul(204,131)}(&gt;what()^&gt;*{'mul(670,505)$mul&amp;&amp;/&lt;don't()why()@#(*~/:&gt;(mul(672,267)mul(540,120)&lt;$[-&gt;!}mul(234,539)!%]who(){mul(30,143)*mul(545,761)where()'!how(935,4)who()%'{~mul(673,752why()what()^:mul(111,407)from()}mul(860,90)#who()/^!how()-!{!mul(217,327)what()!'where()mul(729,143)where()!how()#mul(362,874)$how()how()-&gt;who()~^mul(315,718)!'-@~mul(206,449):/[??#mul(185,796)]~mul(597,268);) &gt;select()from()?)&lt;*mul(516,734)when()what()select()#$select()-?,$mul(366,627)%*{mul(62,39)&lt;what()mul(511,35)mul(879,156)-@]from()#select()mul(247,306;!mul(183,347)&lt;mul(638,126)+&gt;^/$from()+mul(250+~select()!from(){mul(981,151)#}mul(92,876))how()who(363,963)mul(827,341)::how()~&amp;mul(407,705)#+&gt;mul(576,849)mul(482,236)(^* who(),what()mul(544%who()('&gt;*!$@,}mul(113,286)when()'from(685,677)do()%from(614,566)-select()$,-mul(234,452)}&gt;[&amp;who(){#from()&amp;don't()why()select(645,338):why(840,833)+#mul(874,529)}&gt;what()select()why()mul(168,89)}{*when()}do()when()*?$^;?)]mul(811,383)!mul(770,725):!*#[from()from()from(487,367);:mul(564,858)(mul(248,563)*:;'mul??mul(254,676)+where()from()?'[){ how()mul(250,339))'!')where()&lt;?mul(410,838)(where()@mul(102,412)where()mul(173,786)-![mul(92,40)mul(888,277)'from()do()mul(390,731)@what()who()@%@who()&amp;&amp;?mul(930,981)&gt;}from()why()-*!mul(740,619)~$when(370,81)where()%-#;^mul(291;^&lt;-mul(266,422)@%select()/why() [mul(794,513)where()&gt;{+mul(944,970)!why();mul(968,484)&lt;from(),:&gt;/what()who()mul(285,45)when()who()^when(),mul(728,164),#/[)mul(568,114)%@:select() /*!mul(763,536)?@mul(506,503))do()@)^/mul(763,386)/why()how()from(417,323)&gt;what() where()mul(260,628)?:'+$why()+@&amp;mul(697,677)+]when():mul(246,278) $mul(48,81)mul(266,777)who())@*~!?)# mul(843,750}&lt;what()+&gt;mul(940,128)mul(477,389)who()}:when())&lt;[when()mul(838,845)&lt;when():;*mul(248,817)don't()+what();&amp;/)?&gt;~mul(464,153)why(166,536)&lt;/mul(893,554)when()what(){how()&amp;how()mul(505,410)&gt;{/&amp;,~mul(282,701) -!?from();mul(101,631)from()&lt;when()*&amp;mul(187,146)[@+&lt;?{[#{&lt;mul(424,344);!?why()%}what()*&gt;/mul(236,985)why(458,58)do()&amp;*&amp;&gt;how()mul(310,399) :{}^]don't()-&gt;when()from()+ mul(389,902)why(301,687) select()}&gt; who()mul(265,840)/mul(652,469)~where()what(){&lt;&gt;~mul(792,402);&gt; $+@select(747,467)[mul(720,836)%what(984,399)[select()-+{}}mul(757,143)-)%from(),)+where()mul(810,426)&lt;!*mul(596,769)$ from():]how()mul(67,919)why(485,244)]why(506,511)how()&amp;,[{% mul(794,823)!/]-*&lt;'where()mul(872~%how()$&lt;}]}why()~how()mul(413,924)?+[&gt;#who()^@mul,]-'(^^&gt;mul(30,409),)from() mul(916,685what()how(){#/mul(494,862)&lt;who()&gt;-&amp;mul(814,480)!&amp;what()*mul(315,311)!when() @}*%#mul(571,122)~*mul(717,593))/mul(633,314)&lt;^{[%{when()-&lt;?mul(26,322)mul(792;(?:^mul(592,551)&amp;from();%]who()&lt;,$mul(276,734):mul(478,513)]when(637,697){mul&amp; @+'[+mul(848,726)how(),from()-!&amp;,&lt;#do() !-mul(412,173)?''when()select()select();'when()mul(306,288)(!when()how(100,872)&gt;,{mul(571,721):?,@~]select(){mul(275,614),select()/&lt;mul(611,515)how(635,963)select()mul(741,23),select()why()^who(),%#}mul(144,95,why()why()~@^when(555,987)(mul(380,549)%:%&amp;how()&amp;mul(19,964)where(),*why()#%mul(194,612)}+^when()[mul(491,112))//what(){#-:mul(239,5){,?&gt;{[@mul(965,299)what()?$where()(#,(?mul(642,519),+~*]mul(830,103)/]:mul(61,609)from()where()from()([mul(808,331)$mul(885,259)))}mul(902,561)$*:mul(320,613)[where()}mul(374,288)~mul(720,106)*~$mul(967,879),who()[what()}when()/#$-mul(81,187)mul(368,22);];&lt;}- @{mul(882,60)#select()when()mul(144,567);what(),,#don't(){+from()'! mul(608,319)(mul(225,187)%%(&lt;,@#+%select()mul(130,278)!select()}&lt;when()where()mul(348,92):from()[mul(483,262)don't()*+&amp;&amp;}$mul(500,537)%(what()what()select()+^;do()where()]][/%select()*mul(118,729)+;[!why()$@mul(155,535)}from() ^*#select()how()'mul(685,187))*don't()what()(&amp;/{mul(174,160)&amp;+~:mul(100,237)&lt;mul(234,939)mul(328,456)mul(427,653))where()why(162,868){,mul(58,176)'}why()from()&amp;'why()?mul(449,899)-when()how()what()do()#,{,mul(529,302)?&lt;]'*how()who()*~mul(382,944)mul(348,909),]/mul(595,427)-:mul(896,889);-)&lt;mul(212,114)[}what()#how()mul(796,319)from()who()mul(161,245),mul(211,760)]*&lt;+]where()mul(239,248)%mul(634,18)mul(501,317)why()#[who(542,47)what()*who()~,$do()}} where()*~[when(696,90)~when()mul(736,662)*%-$select()-$who()/mul(297,910) when()(when()&gt;'@mul(353,117)]%'-^/?^mul(799,639)who()}-[&gt;mul(495,249)where()*,&lt;mul(79,846)how();mul(317,217)/mul(699,367)when()}mul(390,121),![,+]//,don't()@{what()(&gt;)~mul(768,867)why()mul(305,695)don't()?]where() ?#@(who()mul(748,367)why()+[mul(643,18)})mul(343,964){'mul(287,548)?%do(),from();/?';select()mul(97,411)!!{?mul(105,759)how())how()@mul(663,882)~[mul(709,411)@;]what()when()mul(267,470)&amp;mul(857,988)}/]^-select()]^:where()do()why()where()]-*mul(566,77)-&lt;why()how();:~&gt;#mul(217,308)what()~~(select()&amp;mul(462,131)&lt;+]%how()select()mul(242,763)'select()why()mul(316,185)[when()/ mul(584,440)from()</v>
      </c>
      <c r="R4" s="1" t="str" cm="1">
        <f t="array" ref="R4:R758">_xlfn.LET(
_xlpm.a, _xlfn.CONCAT(A4:A9),
_xlpm.b, _xlfn.TEXTSPLIT(_xlpm.a,, "mul("),_xlpm.b)</f>
        <v>}}+{where()</v>
      </c>
      <c r="S4" s="1" t="str" cm="1">
        <f t="array" ref="S4:S748">_xlfn.LET(
_xlpm.a, _xlfn.CONCAT(A4:A9),
_xlpm.b, _xlfn.TEXTSPLIT(_xlpm.a,, "mul("),
_xlpm.c, _xlfn.TOCOL(_xlfn.TEXTBEFORE(_xlpm.b,")"),2),_xlpm.c)</f>
        <v>}}+{where(</v>
      </c>
      <c r="T4" s="1" t="e" cm="1">
        <f t="array" ref="T4:T748">_xlfn.LET(
_xlpm.a, _xlfn.CONCAT(A4:A9),
_xlpm.b, _xlfn.TEXTSPLIT(_xlpm.a,, "mul("),
_xlpm.c, _xlfn.TOCOL(_xlfn.TEXTBEFORE(_xlpm.b,")"),2),
_xlpm.d, _xlfn.TEXTBEFORE(_xlpm.c, ","),
_xlpm.d)</f>
        <v>#N/A</v>
      </c>
      <c r="U4" s="1" t="e" cm="1">
        <f t="array" ref="U4:U748">_xlfn.LET(
_xlpm.a, _xlfn.CONCAT(A4:A9),
_xlpm.b, _xlfn.TEXTSPLIT(_xlpm.a,, "mul("),
_xlpm.c, _xlfn.TOCOL(_xlfn.TEXTBEFORE(_xlpm.b,")"),2),
_xlpm.d, _xlfn.TEXTBEFORE(_xlpm.c, ","),
_xlpm.e, _xlfn.TEXTAFTER(_xlpm.c, ","),_xlpm.e)</f>
        <v>#N/A</v>
      </c>
      <c r="V4" s="1" cm="1">
        <f t="array" ref="V4:V748">_xlfn.LET(
_xlpm.a, _xlfn.CONCAT(A4:A9),
_xlpm.b, _xlfn.TEXTSPLIT(_xlpm.a,, "mul("),
_xlpm.c, _xlfn.TOCOL(_xlfn.TEXTBEFORE(_xlpm.b,")"),2),
_xlpm.d, _xlfn.TEXTBEFORE(_xlpm.c, ","),
_xlpm.e, _xlfn.TEXTAFTER(_xlpm.c, ","),
_xlpm.f, IFERROR(_xlpm.d*_xlpm.e,0),
_xlpm.f)</f>
        <v>0</v>
      </c>
      <c r="W4" s="1" cm="1">
        <f t="array" ref="W4">_xlfn.LET(
_xlpm.a, _xlfn.CONCAT(A4:A9),
_xlpm.b, _xlfn.TEXTSPLIT(_xlpm.a,, "mul("),
_xlpm.c, _xlfn.TOCOL(_xlfn.TEXTBEFORE(_xlpm.b,")"),2),
_xlpm.d, _xlfn.TEXTBEFORE(_xlpm.c, ","),
_xlpm.e, _xlfn.TEXTAFTER(_xlpm.c, ","),
_xlpm.f, SUM(IFERROR(_xlpm.d*_xlpm.e,0)),
_xlpm.f)</f>
        <v>161289189</v>
      </c>
      <c r="Y4" s="9" t="str">
        <f>_xlfn.LET(
_xlpm.a, _xlfn.CONCAT($A$4:$A$9),
_xlpm.a)</f>
        <v>}}+{where()mul(873,602) mul(954,447)^where()~mul(548,799)-&lt;what()mul(588,631)^who()'@( [mul(143,388)how(445,327))$ select()who()mul(746,719)mul(963,262)}'*+why()&lt;?&amp;/select()don't()[%]% ^^mul(933,492)don't() ^-who()(%how()]mul(583,700))!,where()mul(999,507)](mul(821,504)^%/;:-mul(471,220)who()&amp;'who(161,37)&lt;'mul(843,213),&lt;mul(298,802)-()@how()where()@+[:mul(910,85)'when()($select()%-*mul(532,213)*from()select()$,what()mul(956,380)mul(326,87)mul(243,775)!/:from()&amp;^^mul(118,409)!)what()select()mul(610,89)mul(432,774)from()# from()&lt;mul(400,864):+&amp;mul(957,923)'don't()+select()why()mul(496,383),&amp;why()(-;)+!#mul(79,135)~{mul(500,619),#what(361,47)@&amp;;@+mul(580,98)&lt;&gt;#why():$from()(!mul(660,615):where()mul(596,918)how()[what()how()who()]@mul(594,699)$&gt;$&amp;why()mul(951,813)mul(948,41)]mul(699,225)&gt;mul(840,275):@~^@%^select()mul(695,594)what()-&gt;-mul(409,636)@ {++mul(999,290)when(339,689),[+[+?mul(558,848)how(),what()&amp;}]{mul(344,337)$)$]+,$,,why()do()::select()^:mul(796,16)mul(526,718) mul(66,417)#@&gt;~do()why()from()/select()when():&amp;mul(8,111);!where()do()}@mul(433,239)*}how() {^!do()#^mul(167,905)-&amp;%(mul(979,711)when()]who()'?mul(523,172)[^what(844,455)'what()[/~@mul(928,776)where()]&amp;/mul(587,380)who()/when()how()from(),}#}mul(97,952)select(837,505)~@&gt;~%mul(486,198)^!mul(968,779)do()[mul(206,321);,where()where())how()}/mul(6,867)-&amp;&lt;!*select()mul(615,984)~?who()#&lt;{how()?@mul(617,643){ @,'why()+&gt;what()(mul(683,583)^(mul(244,555)^where()(how()what()?-[,who()mul(827,305);&amp;,!$*?mul(793,452)^ )+(%-where()&lt;mul(318,238)&lt;$-what()mul(802,394)?how()&lt;mul(488,879)do()$}&lt;:&amp;mul(429,358)~how()mul(36,174)mul(87,398)+%what()]mul(822,311)mul(379,261)~when()mul(618,193)@)!))-what()how(645,829)[mul(964,102);who()don't(),[what(),,?select()why()@mul(121,293)select()@who()!mul(770,96)+;%from(467,168)mul(616,890)@%:)[mul(943,145) [from()&amp;where(283,130){*where()mul(649,49)select())mul(877,73)from()do()where()?where()&gt;who()from()@who(){*mul(592,919)/:what():who()mul(213,139)what()$!?*how(934,24)$-who()(mul(661,7)?from(),}/who()mul(876,585)how()why():when()[@@mul(433,918)why()why(),*{who()when()who()mul(144,14/#(&lt;mul(656,306)&amp;what()&amp;{*@%select(709,225)/mul(843,135)who()$[don't()&lt;mul(576,966)^,?&gt;don't()@(@{~why()[who()mul(394,492)where()/mul(508,797)-mul(150,832)+$@why()(why()~mul(527,236)&lt;don't()!#{how()*!,!mul(177,945)'mul(5,181)#!#'&amp;?what()&amp;mul(10,492):%/'*mul(822,748){!*]who()when()&lt;!&lt;mul(21,920)+do()-who()from(505,694)where()from()$who()where()where()/mul(827,561)how()when()mul(770,221)%when()who()mul(872,151)mul(453,84)['&amp;+:mul(258,293)@#,where()mul(264,689)mul(90[mul(94,665)-who()don't()what()&gt;!:@!^&amp;!mul(324&gt;?!from()where())mul(731,184)#(}who()'mul(666,377)how()(;mul(346,141)^select()/@[$how()@]?mul(702,502,^where()&lt;}[mul(872,308)+^!&lt;@from() {:mul(537,974)%when()when()%mul(563,805)select()&gt;how()&gt;^';mul(643,555))where(290,606)who()?mul(656,803),?$/*?when()}@ mul(228,902)~/from(){where()what()&gt;@~mul(849,93)~+select()?-^}&lt;don't()mul(844,117)(when()~,}# /:+mul(24,282)@where()~from()($what()what()*&lt;mul(886,107)[#;mul(725,121) %[&gt;mul(115,425)${what()mul(219,305)how()])from()&lt;mul(401,458)-from()+mul(92,705)}?/,(~+^mul(398,379)why()-!why(){}mul(618,341)how(818,559)'%}~+}'!&lt;mul(128,74)*- &amp;}+[mul(830,201)$when()mul(382,164) /&gt;select()~]~mul(41,659)&lt;'{where():#+)$mul(447,137)where(120,771)$@why()#mul(457,857)&lt;$from()$(who()@?mul(644,914)}mul(936,442);{*(why()mul(804,26);don't()why(),+*how() @:mul(668,778)%select() who() (,where()mul(66,974)^)when():$who()mul(832,615)#mul(572,646)where()how()what()when(673,330)where()when()&amp;/mul(820,446)$why()where()mul(86,788)^~what()'mul(76,413)&amp;'how()mul(616,424)what()select()}from()(/;mul(651,36)!{ mul[*mul(469,702)who()?;mul(331,879)?*from(54,751)who()#+[ mul(182,296)where(607,734){mul(920,190) :mul(660,732)^who()who()*'!mul(3,615)+{why(168,603)when(), mul(254,713); where()*from()~ !!#mul(897,311)]mul(629;what(280,32)&gt;mul(194,563)^&lt;how()when() }#&lt;mul(27,237)?@where()mul(389,541)}'@when()}(*how()mul(671,516)do() ~select()!*']&gt;&amp;mulwho()when()'!what()why()?'}}!mul(414,213)$when()]+{why()mul(606,917)how()*?^,mul(292,543)&gt;mul(326,145)*(&amp;!;^:!#'mul;#@~where()&lt;mul(81,169)mul(436,774)+when()%+where()-[}+mul(425,438)when()/}what()mul(76,978)&gt;%;,from()select()mul(39,372)~[when()what()!+#who()]~mul(905,968from(843,581)(from()from()~what()how()when()mul(768,210)*mul(68,62)mul(777,345%{/select()%mul(458,251));what())how()where()how()when()mul(810,199)&lt;~mul(252,749)don't()mul(915,327)(: mul(608,270)&lt;%[!}-&amp;mul(328,665)from()&gt;*)how()mul(836,471)mul(270,799);(why();&amp;~~mul(598,772)from()&gt;mul(409,297)$mul(469,982)mul(457,665):@&gt;{don't()why()&lt;+,mul(293,172select(816,987)}why()mul(372,420)why()%mul(105,735),&lt;]{mul?{$;&gt;from()what()-$;mul(348,90)from()what()~mul(634,662)^do()$@]*)~,&amp;mul(226,996)when()%]what()!@/&amp;mul(322,135);who() &amp;^select()*&amp;}mul(967,104)from()}'who(701,7)~%[mul(687,163)@:&lt;!how(){^/who()@mul(497,664))@!-(who()&lt;mul(20,274)where(){%&lt;where()?&gt;+:mul(382,128)mul(831,450)mul(485,444)%^what()what()[$what()@}do()-%?'mul(204,152);$'/mul(63,376)mul(387,70)~@'{,':&lt;mul(517,687)@ $^ )why()!mul(865,593)where(918,337)!;mul(786$$'$%why()select()[~$why()mul(667,335)~{+where()who()?from()mul(582,456)%,from()[from()how()mul(927,806)+(]?%mul(460,721)^^;^do(),how()when()select(435,369)}&amp;mul(66[*how();&gt;why()(%{how()&lt;mul(997,260):'do()%::&amp;what()}*who()mul(506,521)'who()%/!why()*&amp;!don't()#@&amp;mul(538,407)'^mul(84,106)'},#^where()%mul(105,225)-what()/how()/from()mul(49,421)@$)[)?why()'#}mul(707,127)@when() &amp;(mul(732,645)'from()'*when()why()from()[who(850,51)?mul(566,427)how()&gt;who()]',from()'how()why()mul(42,665)%'# [}mul(684,645){{%'mul(115,930)mul(552,181)mul(762,163)mul(202,193)+*[mul(525,337)+}-:](?^#mul(466,861)/do()'(;mul(860,319);mul(48,137){when() ~:&lt; &lt;mul(317,942)'~&amp;#how()^mul(66,243)/(from()mul(678,119)when()!when()&gt;from()mul(3,497)?when()&lt; #?^@do()&gt;;/?:mul(522,894)+{+mul(419,20)mul(139,677)where(119,273)*what()[^?mul(563,549)how()&lt;@'%mul(560,434)what()where(),mul(886,302)mul(632,393)*what()!}{mul(769,651)'(mul(267,514)-[how()^:mul(64,902)when()mul(356,352# ;'mul(267,302)#(mul@;~+mul(471,643)!from())!what()from()~mul(429,997)/-mul(401,220)&gt;{]what()what()@select()},mul(294,298)how()mul(230,3)/&amp;what()]&gt;]!how()/mul(888,907)](#&gt;~}+#mul(17,816)/[+when()&gt;from()]^:mul(94,85)#)'{mul(531,103){ {where()what()from()mul(127,712))what()&lt;mul(595,154)~&gt;!%from()'/how()*when(940,337)mul(259,916)+}!-}[mul(703,780++;select()?why()[{mul(221,199)+mul(303,268)$don't()'[what();^mul(542,561);who()&amp;,mul(68,800)[&lt;'{}why()?^from()mul(26,194)?]who():;mul(641,921)#&amp;where()mul(539,571)select()]~%%]when())mul(833,642);mul(209,564)}&lt;^)when()mul(648,430/(#)/?(';where()what()mul(818,526) ]!what()do() &lt;;:mulfrom() @-&lt;select()what(557,962)$%mul(83,808)from()% {)mul(894,523){~?@'&amp;,how()&gt;mul(764,627)#/mul(887,607), do()$(},#^}}from()how()mul(184,287)where()$^mul(859,310){who()how()mul(692,592){&gt;?&amp;mul(223,912)what()^@ {{^@/mul(736,965)$)]];-#@&amp;mul(600,145)~/}*-}how()mul(893,646):where()}mul(205,416)what()from()mul(35,844)mul(94,245))/&lt;#&lt;/$when()who(236,448)mul(943,490)^?*!mul(187,639)select()mul(105,840)#;-;((&amp;,select()mul(495,135)don't()when()(&amp;mul(129,293)}}{~from()]select()*+mul(724,202)mul(540,481)+when()$&gt;&lt;from()?$#mul(604,366)where()why()^select()mul(82,14){]what()##/^mul(661$mul(576,422)!}*mul(968,267)mul(501,251)&lt;[,mul(999-mul(61,600)how()~ how()#&amp;mul(488,199)+})who()# @what()mul(695,154)!{[don't()mul(454,729)what():(&lt;%mul(656,115)from()!]when()when():?,mul(536,421)}select()when()&lt;mul(550,82)(:mul(482,346)}%when()&gt;+mul(189,780)from()how()#&lt; ^don't()why()&amp;who()where(){ &gt;:mul(638,986)*+&lt; ;mul(131,393),how(419,400)*@how()mul(856,729)who()$$[$[select()~&lt;mul(553,105)why(720,700)']mul(780,579)}what()select()who()~//}^mul(811,393))/&lt;#,mul(530,118)@'%&lt;~mul(640,727)'-]:-:]+mul(124,151)~@{why()@/why()mul(523,641)'%select())/mul(70,234)-$#mul(589,488)^:how()(when()mul(66,473)$/!-{from()%]#]mul(417,212)~&gt;{(when()$mul(613,175)}mul(503,337)~)what() mul:!-*}?~who()&lt;mul(709,759)}what()^where()when()!select(820,39)]::mul(884,175):#mul(852,584)&gt;-mul(649,886)+how(738,973)when()[(mul(593,702)where()%%^(]who()mul(456,697)%~^'when()how()mul(789,446)mul(737,439)mul(830,910):&gt;why()when()how()'?]why()&gt;do()#'&amp;why()'from()mul(972,441):mul(157,521)mul(43,224):$who()&gt;select()how()mul(52,740)'mul(136,716)select()mul(613,433)]&gt;$^when()why()where()how();mul(978,314))$mul(695,29)}mul(778,660){how()&lt;+$?mul(402,606)select()+~$do()mul(262,94)how()why()))#'^$@mul}mul(201,86)*select()mul(876,626)why()mul(174,750)where()(from()(mul(433,335)]@mul(29,940) :~what()$}where()select()mul(416,920)^&amp;%&lt;~^mul(276,648)mul(636,17);why()}-}mul(810,73)&lt;@} how():from(900,831)what()mul(241,497)select()when()'&amp;{mul(603,108):[,mul(941,454) $@mul&gt;@&lt;}'[, $mul(510,523)where(), ~];mul(584,102)&lt;when()mul(907,301)]#select()select();{how()select()what()?mul(980,625)select())where(){:^mul(544,917)((how()['who()mul(628,364)who(272,887)@!^@{+~{don't()when() )(from()what()when()-mul(95,412)(mul(127,442)/mul(658,920)from()from())!$&lt;&amp;*mul(45,446)what()where()&amp;![-% (%mul(304};do()why(81,149)#^mul(181,603)where()^;{(! ^;mul(381,353)~@$mul(129,558)where()?from(): mul(573,183&lt;how()*how()(#(mul(626,301))?]/)how()mul(20,851)[$when()*how()mul(42,787)[! )@;:(;mul(98,614)why()mul(692,723)!'&gt;' do()why()&lt;&amp;select(812,485)!mul(538,458)who()why()^'select(){{why()mul(773,196)when()why(713,26){,!do()?why()!when(),?mul(234,541)mul(558]!(%;}'-mul(721,55)(&lt;%@$?mul(856,705]&gt;!#'++why() &gt;#!/usr/bin/perlfrom()mul(147,188)&lt;?$when()+$where()%mul(894,439)&gt;where()what()mul(221,687)/)from()'[{mul(9,723)[{/?who()where()mul(113,227)&gt; ~&gt;$)mul(663,198)&amp;[&gt;#mul(567,600)]when()$@select())(%&lt;&amp;mul(472,423)#when()&gt;(/]select()$;how(511,981)mul(785,371}-how():$where()(?~mul(731,455)mul(810,191);who()(@&gt;,? !$mul(534,231&amp;don't();]why();,#;where()[,mul(190,923) }when()mul &lt;mul(909,876)[*~when()]mul(739,708)select()(@:~)/&lt;@,mul(794,354)&lt;mul(874,298)what()why()$+mul(669,535)&amp;!^mul(260,4))mul(641,230)mul(516,429)'mul(141,983)!}when()select()where()+}[)do()&amp;&gt;:mul(525,573&lt;{what() *$?from()from(){mul(885,340)why()&gt;mul(398,414)?[where()&lt;what()from()^mul(746,645)where(586,97)+'mul(523,150)/%()~how()where(580,13)@mul(446,624),'-mul(605,440),from()$/-where()mul(17,117) &gt;$why()from())mul(988,667)mul(828,197)'why()/%*when()/*mul(799,415)where()]&lt;~ ?&gt;'-don't()^[(' ]%^~%mul(122,243)why();[how(951,959)how(435,882)~*-#don't()why()[what()what()'mul(218,944)!)&amp;&gt;'(where()+mul(686,595)#&amp;when()mul(916,990))what()mul(414,411)&gt;why()&amp;select()!}why() ?&gt;mul(820,386)select()mul(324,473)mul(690,413)!&gt;$why()mul(23,907)who()%&lt;who()))how()^mul(65,111)where()^$mul(793,643)&amp;who() mul(481,441)+&lt;mul(796,772)#^mul(827,58)]{where()*#&gt;mul(579,551)where()when()how()?~&amp;@-why()&gt;mul(359,283)[don't() }mul(238,664)!]~^^#(why()mul(128,702)mul(750,811)what()',do()'@where()select()from(),/+&amp;mul(640,613),&amp;%+why()^from()from()*mul(314~${~*how()?what() mul(593,269)who()*mul(865,609)what()@~$+mul(784,462))],;;'what(){mul(902,580)when()&lt;{~ ?&gt;~how()mul(22,360)]mul(650,584)#select()!(why()/;+when()mul(173,450)where()mul(126,232)(?@/^how()why()who()mul(148,272)&amp;?when()where()]mul(93,105)?!}!:@!mul(428,270)- where(179,717)&gt;@!-,how()why()don't()!where()who()$:&lt;mul(439,76)*,^mul~mul(69,32)!how()}**what()mul(496,817)when()*how()^+~how()from()mul{]&amp;when()-:}why(540,134)&gt;mul(472,276)&lt;'&amp;where()mul(334,580)'/-?+;(-mul(78,731)select()mul(584,89)*/&gt;don't()/;''~how()?&lt;mul(106,855)']mul(996,656){%:mul(873,777);how()(:#mulwhere(939,627)#^&gt;&lt;mul(186,441)when()+?who()'$mul(297,888)how()%'?:-{&amp;mul(291,979)}&gt;# how(261,707)$],mul(983,656)*&gt; mul(340,628)]*][[/mul(193,206)(})~mul*/-#mul(976,903)%#why()$}-&amp;mul(734,303)what()[from()*-/why()do()&amp;why()!*]@from()&amp;when()mul(339,902)from()([,[*^?how()mul(2,449)when()how()why()mul(799,379)-!#-mul(704,107)mul(205,807) :mul(787,710)mul(575,659)when(),];~'!mul(755,669){+&amp;%$-&lt;mul(533,448);#from()how()$what()-don't()from()] )mul(663,118)$from()$;who()do()#from()*?from()%mul(521,701/how()mul(357,734)who()from()+select()who()(*{%:mul(900,877)[{mul(276,197)!how()who()}$}?mul}$:why()who()who()mul(635,783)mul(276,497)[select()how()select()&gt;,where()}# mul(555,644);^who()!}mul(341:@#{mul(135,278)where()how()what();where()mul(439,633),]$how()why()mul(708,508)where()%{why(744,659)mul(700--(why()*%/where()#&lt;@don't()$?mul(39what(),#})$ select()how()~mul(847,132){)what(134,971)what(336,162))&amp;/what()mul(470,625)#mul(275,789)where()&lt;]mul(15,846)when()from()mul(21,575)%from()^&lt;from()@-}from()*mul(437,525))+!~{select()don't()&gt;when()when() ~(+select()what()mul(554,360)from()]~mul(785,136)}%#:?mul(117,254)who()do()% %;%-from(747,86)how()^/mul(313,607)why()mul(678,806),(mul(226,595)#%mul(415,823)']mul(873,709)#;select()'&lt;&gt; *mul(121,496)why()who()what()?where()mul(590,916)',/@what()how()?%mul(477,943)when()who()/';%mul(654,383)select()*why()'^select()]select()&amp;mul(433,312);//~++what()&amp;&lt;?do()who()^&amp;from()#how();[[#mul(512,521)%&gt;![]mul(532,452) +*&lt;@;mul(470,836why()who()select()#when()select()where()from(812,299)&lt;/mul(987,617)when()&amp;%;mul(85,662) select()select()*?&gt;mul(469,324) select()why(){mul(891,321);'&amp;$%@{mul(792,73)$$[who()&gt;[[from():mul&gt;why()?how()mul(522,233)([%select()mul(195,940)&amp;mul(368,872)~}{who();!!&gt;^^mul(920,394)^,select():?!%[mul(477,578): what()~!/select())who()/mul(976,739)&gt;;who()who(43,925)&amp;when()&gt;&gt;;+mul(857,247) mul(442,620){;mul(393,289)-!*mul(848,511)?how()}@mul(290,212))(~+#~:mul(150]*/&gt;who()[&gt;?:&lt;mul(289,261)&gt;&lt;]*[;+what()where()mul(307,698);;from()~%;where(84,170)[${mul(158,165):[what()^select()mul(977,383)'*@&lt;! )mul(188,493)mul(566,212)&amp;,who()]do()mul(644,488)how())+]~who()where()mul(113,502)mul(306,625),] ;/#&amp;$;who()mul(418,801)#&gt;&gt;/;:mul(920,657)*how()when()mul(816,293)select()~$+^+mul(420,667);(^where());&lt;from()[,do()'where()/!where()&amp;?when()&gt;mul(402,31)]mul(272,313)^&gt;mul(161,164)@$&lt;mulfrom()$when()&lt;mul(718,501)+-who()mul(960,325);who()&amp;{?mul(615,493)select(){]when())#{from(465,35)mul(905,145){[,&amp;&gt;$mul(260,136)&amp;@}* &gt; -mul(380,442)^#*!don't())?(;@mul(209/%(&gt;,how()^mul(423,410)from()-mul(381,141)+~-)mul(674,158)^:what()&gt;(^)who()mul*^,mul(74,315)!-),mul(341,503)where()/;*)why()),what()&amp;mul(624,435)mul(880,482)}where():&lt;select():^&gt;]why()mul(367,134)when()(when()mul(166,251)@+,who(),mul(610,271)+&gt;)(mul(455,461)&gt;&amp;@-()from()+]mul(232,944)&amp;,@when()@]mul(523,215)mul(876,836) mul(335,254)&lt;#-{from()^mul(153,522)what(52,828)who()where()from()from()@&amp;&gt;$mul,!&amp;&lt;don't()why(768,688)what(),);'mul(851,963)]&amp;;(mul(45,859)[;select() ~%]when()!where()mul(807,272):#from()mul(943,224)?$mul(415,924)'from()?mul(204,131)}(&gt;what()^&gt;*{'mul(670,505)$mul&amp;&amp;/&lt;don't()why()@#(*~/:&gt;(mul(672,267)mul(540,120)&lt;$[-&gt;!}mul(234,539)!%]who(){mul(30,143)*mul(545,761)where()'!how(935,4)who()%'{~mul(673,752why()what()^:mul(111,407)from()}mul(860,90)#who()/^!how()-!{!mul(217,327)what()!'where()mul(729,143)where()!how()#mul(362,874)$how()how()-&gt;who()~^mul(315,718)!'-@~mul(206,449):/[??#mul(185,796)]~mul(597,268);) &gt;select()from()?)&lt;*mul(516,734)when()what()select()#$select()-?,$mul(366,627)%*{mul(62,39)&lt;what()mul(511,35)mul(879,156)-@]from()#select()mul(247,306;!mul(183,347)&lt;mul(638,126)+&gt;^/$from()+mul(250+~select()!from(){mul(981,151)#}mul(92,876))how()who(363,963)mul(827,341)::how()~&amp;mul(407,705)#+&gt;mul(576,849)mul(482,236)(^* who(),what()mul(544%who()('&gt;*!$@,}mul(113,286)when()'from(685,677)do()%from(614,566)-select()$,-mul(234,452)}&gt;[&amp;who(){#from()&amp;don't()why()select(645,338):why(840,833)+#mul(874,529)}&gt;what()select()why()mul(168,89)}{*when()}do()when()*?$^;?)]mul(811,383)!mul(770,725):!*#[from()from()from(487,367);:mul(564,858)(mul(248,563)*:;'mul??mul(254,676)+where()from()?'[){ how()mul(250,339))'!')where()&lt;?mul(410,838)(where()@mul(102,412)where()mul(173,786)-![mul(92,40)mul(888,277)'from()do()mul(390,731)@what()who()@%@who()&amp;&amp;?mul(930,981)&gt;}from()why()-*!mul(740,619)~$when(370,81)where()%-#;^mul(291;^&lt;-mul(266,422)@%select()/why() [mul(794,513)where()&gt;{+mul(944,970)!why();mul(968,484)&lt;from(),:&gt;/what()who()mul(285,45)when()who()^when(),mul(728,164),#/[)mul(568,114)%@:select() /*!mul(763,536)?@mul(506,503))do()@)^/mul(763,386)/why()how()from(417,323)&gt;what() where()mul(260,628)?:'+$why()+@&amp;mul(697,677)+]when():mul(246,278) $mul(48,81)mul(266,777)who())@*~!?)# mul(843,750}&lt;what()+&gt;mul(940,128)mul(477,389)who()}:when())&lt;[when()mul(838,845)&lt;when():;*mul(248,817)don't()+what();&amp;/)?&gt;~mul(464,153)why(166,536)&lt;/mul(893,554)when()what(){how()&amp;how()mul(505,410)&gt;{/&amp;,~mul(282,701) -!?from();mul(101,631)from()&lt;when()*&amp;mul(187,146)[@+&lt;?{[#{&lt;mul(424,344);!?why()%}what()*&gt;/mul(236,985)why(458,58)do()&amp;*&amp;&gt;how()mul(310,399) :{}^]don't()-&gt;when()from()+ mul(389,902)why(301,687) select()}&gt; who()mul(265,840)/mul(652,469)~where()what(){&lt;&gt;~mul(792,402);&gt; $+@select(747,467)[mul(720,836)%what(984,399)[select()-+{}}mul(757,143)-)%from(),)+where()mul(810,426)&lt;!*mul(596,769)$ from():]how()mul(67,919)why(485,244)]why(506,511)how()&amp;,[{% mul(794,823)!/]-*&lt;'where()mul(872~%how()$&lt;}]}why()~how()mul(413,924)?+[&gt;#who()^@mul,]-'(^^&gt;mul(30,409),)from() mul(916,685what()how(){#/mul(494,862)&lt;who()&gt;-&amp;mul(814,480)!&amp;what()*mul(315,311)!when() @}*%#mul(571,122)~*mul(717,593))/mul(633,314)&lt;^{[%{when()-&lt;?mul(26,322)mul(792;(?:^mul(592,551)&amp;from();%]who()&lt;,$mul(276,734):mul(478,513)]when(637,697){mul&amp; @+'[+mul(848,726)how(),from()-!&amp;,&lt;#do() !-mul(412,173)?''when()select()select();'when()mul(306,288)(!when()how(100,872)&gt;,{mul(571,721):?,@~]select(){mul(275,614),select()/&lt;mul(611,515)how(635,963)select()mul(741,23),select()why()^who(),%#}mul(144,95,why()why()~@^when(555,987)(mul(380,549)%:%&amp;how()&amp;mul(19,964)where(),*why()#%mul(194,612)}+^when()[mul(491,112))//what(){#-:mul(239,5){,?&gt;{[@mul(965,299)what()?$where()(#,(?mul(642,519),+~*]mul(830,103)/]:mul(61,609)from()where()from()([mul(808,331)$mul(885,259)))}mul(902,561)$*:mul(320,613)[where()}mul(374,288)~mul(720,106)*~$mul(967,879),who()[what()}when()/#$-mul(81,187)mul(368,22);];&lt;}- @{mul(882,60)#select()when()mul(144,567);what(),,#don't(){+from()'! mul(608,319)(mul(225,187)%%(&lt;,@#+%select()mul(130,278)!select()}&lt;when()where()mul(348,92):from()[mul(483,262)don't()*+&amp;&amp;}$mul(500,537)%(what()what()select()+^;do()where()]][/%select()*mul(118,729)+;[!why()$@mul(155,535)}from() ^*#select()how()'mul(685,187))*don't()what()(&amp;/{mul(174,160)&amp;+~:mul(100,237)&lt;mul(234,939)mul(328,456)mul(427,653))where()why(162,868){,mul(58,176)'}why()from()&amp;'why()?mul(449,899)-when()how()what()do()#,{,mul(529,302)?&lt;]'*how()who()*~mul(382,944)mul(348,909),]/mul(595,427)-:mul(896,889);-)&lt;mul(212,114)[}what()#how()mul(796,319)from()who()mul(161,245),mul(211,760)]*&lt;+]where()mul(239,248)%mul(634,18)mul(501,317)why()#[who(542,47)what()*who()~,$do()}} where()*~[when(696,90)~when()mul(736,662)*%-$select()-$who()/mul(297,910) when()(when()&gt;'@mul(353,117)]%'-^/?^mul(799,639)who()}-[&gt;mul(495,249)where()*,&lt;mul(79,846)how();mul(317,217)/mul(699,367)when()}mul(390,121),![,+]//,don't()@{what()(&gt;)~mul(768,867)why()mul(305,695)don't()?]where() ?#@(who()mul(748,367)why()+[mul(643,18)})mul(343,964){'mul(287,548)?%do(),from();/?';select()mul(97,411)!!{?mul(105,759)how())how()@mul(663,882)~[mul(709,411)@;]what()when()mul(267,470)&amp;mul(857,988)}/]^-select()]^:where()do()why()where()]-*mul(566,77)-&lt;why()how();:~&gt;#mul(217,308)what()~~(select()&amp;mul(462,131)&lt;+]%how()select()mul(242,763)'select()why()mul(316,185)[when()/ mul(584,440)from()</v>
      </c>
      <c r="Z4" s="4" t="str" cm="1">
        <f t="array" ref="Z4:AF42">_xlfn.LET(
_xlpm.a, _xlfn.CONCAT($A$4:$A$9),
_xlpm.b, _xlfn.TEXTSPLIT(_xlpm.a,"do()", "don't()"),
_xlpm.b)</f>
        <v>}}+{where()mul(873,602) mul(954,447)^where()~mul(548,799)-&lt;what()mul(588,631)^who()'@( [mul(143,388)how(445,327))$ select()who()mul(746,719)mul(963,262)}'*+why()&lt;?&amp;/select()</v>
      </c>
      <c r="AA4" s="1" t="e">
        <v>#N/A</v>
      </c>
      <c r="AB4" s="1" t="e">
        <v>#N/A</v>
      </c>
      <c r="AC4" s="1" t="e">
        <v>#N/A</v>
      </c>
      <c r="AD4" s="1" t="e">
        <v>#N/A</v>
      </c>
      <c r="AE4" s="1" t="e">
        <v>#N/A</v>
      </c>
      <c r="AF4" s="1" t="e">
        <v>#N/A</v>
      </c>
      <c r="AG4" s="1" t="str" cm="1">
        <f t="array" ref="AG4:AG42">_xlfn.LET(
_xlpm.a, _xlfn.CONCAT($A$4:$A$9),
_xlpm.b, _xlfn.TEXTSPLIT(_xlpm.a,"do()", "don't()"),
_xlpm.c, _xlfn.CHOOSECOLS(_xlpm.b,1),
_xlpm.c)</f>
        <v>}}+{where()mul(873,602) mul(954,447)^where()~mul(548,799)-&lt;what()mul(588,631)^who()'@( [mul(143,388)how(445,327))$ select()who()mul(746,719)mul(963,262)}'*+why()&lt;?&amp;/select()</v>
      </c>
      <c r="AH4" s="1" t="str" cm="1">
        <f t="array" ref="AH4:AH369">_xlfn.LET(
_xlpm.a, _xlfn.CONCAT($A$4:$A$9),
_xlpm.b, _xlfn.TEXTSPLIT(_xlpm.a,"do()", "don't()"),
_xlpm.c, _xlfn.CHOOSECOLS(_xlpm.b,1),
_xlpm.d, _xlfn.TEXTSPLIT(_xlfn.CONCAT(_xlpm.c),,"mul("),
_xlpm.d)</f>
        <v>}}+{where()</v>
      </c>
      <c r="AI4" s="1" t="str" cm="1">
        <f t="array" ref="AI4:AI369">_xlfn.LET(
_xlpm.a, _xlfn.CONCAT($A$4:$A$9),
_xlpm.b, _xlfn.TEXTSPLIT(_xlpm.a,"do()", "don't()"),
_xlpm.c, _xlfn.CHOOSECOLS(_xlpm.b,1),
_xlpm.d, _xlfn.TEXTSPLIT(_xlfn.CONCAT(_xlpm.c),,"mul("),
_xlpm.e, _xlfn.TEXTBEFORE(_xlpm.d,")"),_xlpm.e)</f>
        <v>}}+{where(</v>
      </c>
      <c r="AJ4" s="1" t="e" cm="1">
        <f t="array" ref="AJ4:AJ369">_xlfn.LET(
_xlpm.a, _xlfn.CONCAT($A$4:$A$9),
_xlpm.b, _xlfn.TEXTSPLIT(_xlpm.a,"do()", "don't()"),
_xlpm.c, _xlfn.CHOOSECOLS(_xlpm.b,1),
_xlpm.d, _xlfn.TEXTSPLIT(_xlfn.CONCAT(_xlpm.c),,"mul("),
_xlpm.e, _xlfn.TEXTBEFORE(_xlpm.d,")"),
_xlpm.f, _xlfn.TEXTBEFORE(_xlpm.e,","),_xlpm.f)</f>
        <v>#N/A</v>
      </c>
      <c r="AK4" s="1" t="e" cm="1">
        <f t="array" ref="AK4:AK369">_xlfn.LET(
_xlpm.a, _xlfn.CONCAT($A$4:$A$9),
_xlpm.b, _xlfn.TEXTSPLIT(_xlpm.a,"do()", "don't()"),
_xlpm.c, _xlfn.CHOOSECOLS(_xlpm.b,1),
_xlpm.d, _xlfn.TEXTSPLIT(_xlfn.CONCAT(_xlpm.c),,"mul("),
_xlpm.e, _xlfn.TEXTBEFORE(_xlpm.d,")"),
_xlpm.f, _xlfn.TEXTBEFORE(_xlpm.e,","),
_xlpm.g, _xlfn.TEXTAFTER(_xlpm.e,","),_xlpm.g)</f>
        <v>#N/A</v>
      </c>
      <c r="AL4" s="1" cm="1">
        <f t="array" ref="AL4:AL369">_xlfn.LET(
_xlpm.a, _xlfn.CONCAT($A$4:$A$9),
_xlpm.b, _xlfn.TEXTSPLIT(_xlpm.a,"do()", "don't()"),
_xlpm.c, _xlfn.CHOOSECOLS(_xlpm.b,1),
_xlpm.d, _xlfn.TEXTSPLIT(_xlfn.CONCAT(_xlpm.c),,"mul("),
_xlpm.e, _xlfn.TEXTBEFORE(_xlpm.d,")"),
_xlpm.f, _xlfn.TEXTBEFORE(_xlpm.e,","),
_xlpm.g, _xlfn.TEXTAFTER(_xlpm.e,","),
_xlpm.h, IFERROR(_xlpm.f*_xlpm.g,0),_xlpm.h)</f>
        <v>0</v>
      </c>
      <c r="AM4" s="1" cm="1">
        <f t="array" ref="AM4">_xlfn.LET(
_xlpm.a, _xlfn.CONCAT($A$4:$A$9),
_xlpm.b, _xlfn.TEXTSPLIT(_xlpm.a,"do()", "don't()"),
_xlpm.c, _xlfn.CHOOSECOLS(_xlpm.b,1),
_xlpm.d, _xlfn.TEXTSPLIT(_xlfn.CONCAT(_xlpm.c),,"mul("),
_xlpm.e, _xlfn.TEXTBEFORE(_xlpm.d,")"),
_xlpm.f, _xlfn.TEXTBEFORE(_xlpm.e,","),
_xlpm.g, _xlfn.TEXTAFTER(_xlpm.e,","),
_xlpm.h, SUM(IFERROR(_xlpm.f*_xlpm.g,0)),_xlpm.h)</f>
        <v>80299108</v>
      </c>
    </row>
    <row r="5" spans="1:40" x14ac:dyDescent="0.3">
      <c r="A5" s="1" t="s">
        <v>7</v>
      </c>
      <c r="B5" s="1">
        <f>SUM(LEN(A5)-LEN(SUBSTITUTE(A5,"mul","")))/LEN("mul")</f>
        <v>131</v>
      </c>
      <c r="D5" s="2">
        <v>2</v>
      </c>
      <c r="E5" s="2">
        <f>SEARCH("mul",$C$4,E4+1)</f>
        <v>25</v>
      </c>
      <c r="F5" s="2" t="str">
        <f>MID($C$4,E5,$F$1)</f>
        <v>mul(954,447)^wh</v>
      </c>
      <c r="G5" s="3">
        <f>SEARCH("(",F5)</f>
        <v>4</v>
      </c>
      <c r="H5" s="3">
        <f>SEARCH(",",F5)</f>
        <v>8</v>
      </c>
      <c r="I5" s="3">
        <f>SEARCH(")",F5)</f>
        <v>12</v>
      </c>
      <c r="J5" s="2" t="str">
        <f>IF(OR(ISERROR(G5),ISERROR(H5),ISERROR(I5)),"CORRUPT!","")</f>
        <v/>
      </c>
      <c r="K5" s="2" t="str">
        <f>IF(J5&lt;&gt;"","",MID(F5, G5+1, H5-G5-1))</f>
        <v>954</v>
      </c>
      <c r="L5" s="2">
        <f>IF(J5&lt;&gt;"","",LEN(K5))</f>
        <v>3</v>
      </c>
      <c r="M5" s="2" t="str">
        <f>IF(J5&lt;&gt;"","",MID(F5, H5+1, I5-H5-1))</f>
        <v>447</v>
      </c>
      <c r="N5" s="2">
        <f>IF(J5&lt;&gt;"","",LEN(M5))</f>
        <v>3</v>
      </c>
      <c r="O5" s="2">
        <f>IF(J5&lt;&gt;"","",K5*M5)</f>
        <v>426438</v>
      </c>
      <c r="R5" s="1" t="str">
        <v xml:space="preserve">873,602) </v>
      </c>
      <c r="S5" s="1" t="str">
        <v>873,602</v>
      </c>
      <c r="T5" s="1" t="str">
        <v>873</v>
      </c>
      <c r="U5" s="1" t="str">
        <v>602</v>
      </c>
      <c r="V5" s="1">
        <v>525546</v>
      </c>
      <c r="Z5" s="1" t="str">
        <v>[%]% ^^mul(933,492)</v>
      </c>
      <c r="AA5" s="1" t="e">
        <v>#N/A</v>
      </c>
      <c r="AB5" s="1" t="e">
        <v>#N/A</v>
      </c>
      <c r="AC5" s="1" t="e">
        <v>#N/A</v>
      </c>
      <c r="AD5" s="1" t="e">
        <v>#N/A</v>
      </c>
      <c r="AE5" s="1" t="e">
        <v>#N/A</v>
      </c>
      <c r="AF5" s="1" t="e">
        <v>#N/A</v>
      </c>
      <c r="AG5" s="1" t="str">
        <v>[%]% ^^mul(933,492)</v>
      </c>
      <c r="AH5" s="1" t="str">
        <v xml:space="preserve">873,602) </v>
      </c>
      <c r="AI5" s="1" t="str">
        <v>873,602</v>
      </c>
      <c r="AJ5" s="1" t="str">
        <v>873</v>
      </c>
      <c r="AK5" s="1" t="str">
        <v>602</v>
      </c>
      <c r="AL5" s="1">
        <v>525546</v>
      </c>
    </row>
    <row r="6" spans="1:40" x14ac:dyDescent="0.3">
      <c r="A6" s="1" t="s">
        <v>6</v>
      </c>
      <c r="B6" s="1">
        <f>SUM(LEN(A6)-LEN(SUBSTITUTE(A6,"mul","")))/LEN("mul")</f>
        <v>130</v>
      </c>
      <c r="D6" s="2">
        <v>3</v>
      </c>
      <c r="E6" s="2">
        <f>SEARCH("mul",$C$4,E5+1)</f>
        <v>46</v>
      </c>
      <c r="F6" s="2" t="str">
        <f>MID($C$4,E6,$F$1)</f>
        <v>mul(548,799)-&lt;w</v>
      </c>
      <c r="G6" s="3">
        <f>SEARCH("(",F6)</f>
        <v>4</v>
      </c>
      <c r="H6" s="3">
        <f>SEARCH(",",F6)</f>
        <v>8</v>
      </c>
      <c r="I6" s="3">
        <f>SEARCH(")",F6)</f>
        <v>12</v>
      </c>
      <c r="J6" s="2" t="str">
        <f>IF(OR(ISERROR(G6),ISERROR(H6),ISERROR(I6)),"CORRUPT!","")</f>
        <v/>
      </c>
      <c r="K6" s="2" t="str">
        <f>IF(J6&lt;&gt;"","",MID(F6, G6+1, H6-G6-1))</f>
        <v>548</v>
      </c>
      <c r="L6" s="2">
        <f>IF(J6&lt;&gt;"","",LEN(K6))</f>
        <v>3</v>
      </c>
      <c r="M6" s="2" t="str">
        <f>IF(J6&lt;&gt;"","",MID(F6, H6+1, I6-H6-1))</f>
        <v>799</v>
      </c>
      <c r="N6" s="2">
        <f>IF(J6&lt;&gt;"","",LEN(M6))</f>
        <v>3</v>
      </c>
      <c r="O6" s="2">
        <f>IF(J6&lt;&gt;"","",K6*M6)</f>
        <v>437852</v>
      </c>
      <c r="R6" s="1" t="str">
        <v>954,447)^where()~</v>
      </c>
      <c r="S6" s="1" t="str">
        <v>954,447</v>
      </c>
      <c r="T6" s="1" t="str">
        <v>954</v>
      </c>
      <c r="U6" s="1" t="str">
        <v>447</v>
      </c>
      <c r="V6" s="1">
        <v>426438</v>
      </c>
      <c r="Z6" s="1" t="str">
        <v xml:space="preserve"> ^-who()(%how()]mul(583,700))!,where()mul(999,507)](mul(821,504)^%/;:-mul(471,220)who()&amp;'who(161,37)&lt;'mul(843,213),&lt;mul(298,802)-()@how()where()@+[:mul(910,85)'when()($select()%-*mul(532,213)*from()select()$,what()mul(956,380)mul(326,87)mul(243,775)!/:from()&amp;^^mul(118,409)!)what()select()mul(610,89)mul(432,774)from()# from()&lt;mul(400,864):+&amp;mul(957,923)'</v>
      </c>
      <c r="AA6" s="1" t="e">
        <v>#N/A</v>
      </c>
      <c r="AB6" s="1" t="e">
        <v>#N/A</v>
      </c>
      <c r="AC6" s="1" t="e">
        <v>#N/A</v>
      </c>
      <c r="AD6" s="1" t="e">
        <v>#N/A</v>
      </c>
      <c r="AE6" s="1" t="e">
        <v>#N/A</v>
      </c>
      <c r="AF6" s="1" t="e">
        <v>#N/A</v>
      </c>
      <c r="AG6" s="1" t="str">
        <v xml:space="preserve"> ^-who()(%how()]mul(583,700))!,where()mul(999,507)](mul(821,504)^%/;:-mul(471,220)who()&amp;'who(161,37)&lt;'mul(843,213),&lt;mul(298,802)-()@how()where()@+[:mul(910,85)'when()($select()%-*mul(532,213)*from()select()$,what()mul(956,380)mul(326,87)mul(243,775)!/:from()&amp;^^mul(118,409)!)what()select()mul(610,89)mul(432,774)from()# from()&lt;mul(400,864):+&amp;mul(957,923)'</v>
      </c>
      <c r="AH6" s="1" t="str">
        <v>954,447)^where()~</v>
      </c>
      <c r="AI6" s="1" t="str">
        <v>954,447</v>
      </c>
      <c r="AJ6" s="1" t="str">
        <v>954</v>
      </c>
      <c r="AK6" s="1" t="str">
        <v>447</v>
      </c>
      <c r="AL6" s="1">
        <v>426438</v>
      </c>
    </row>
    <row r="7" spans="1:40" x14ac:dyDescent="0.3">
      <c r="A7" s="1" t="s">
        <v>5</v>
      </c>
      <c r="B7" s="1">
        <f>SUM(LEN(A7)-LEN(SUBSTITUTE(A7,"mul","")))/LEN("mul")</f>
        <v>134</v>
      </c>
      <c r="D7" s="2">
        <v>4</v>
      </c>
      <c r="E7" s="2">
        <f>SEARCH("mul",$C$4,E6+1)</f>
        <v>66</v>
      </c>
      <c r="F7" s="2" t="str">
        <f>MID($C$4,E7,$F$1)</f>
        <v>mul(588,631)^wh</v>
      </c>
      <c r="G7" s="3">
        <f>SEARCH("(",F7)</f>
        <v>4</v>
      </c>
      <c r="H7" s="3">
        <f>SEARCH(",",F7)</f>
        <v>8</v>
      </c>
      <c r="I7" s="3">
        <f>SEARCH(")",F7)</f>
        <v>12</v>
      </c>
      <c r="J7" s="2" t="str">
        <f>IF(OR(ISERROR(G7),ISERROR(H7),ISERROR(I7)),"CORRUPT!","")</f>
        <v/>
      </c>
      <c r="K7" s="2" t="str">
        <f>IF(J7&lt;&gt;"","",MID(F7, G7+1, H7-G7-1))</f>
        <v>588</v>
      </c>
      <c r="L7" s="2">
        <f>IF(J7&lt;&gt;"","",LEN(K7))</f>
        <v>3</v>
      </c>
      <c r="M7" s="2" t="str">
        <f>IF(J7&lt;&gt;"","",MID(F7, H7+1, I7-H7-1))</f>
        <v>631</v>
      </c>
      <c r="N7" s="2">
        <f>IF(J7&lt;&gt;"","",LEN(M7))</f>
        <v>3</v>
      </c>
      <c r="O7" s="2">
        <f>IF(J7&lt;&gt;"","",K7*M7)</f>
        <v>371028</v>
      </c>
      <c r="R7" s="1" t="str">
        <v>548,799)-&lt;what()</v>
      </c>
      <c r="S7" s="1" t="str">
        <v>548,799</v>
      </c>
      <c r="T7" s="1" t="str">
        <v>548</v>
      </c>
      <c r="U7" s="1" t="str">
        <v>799</v>
      </c>
      <c r="V7" s="1">
        <v>437852</v>
      </c>
      <c r="Z7" s="1" t="str">
        <v>+select()why()mul(496,383),&amp;why()(-;)+!#mul(79,135)~{mul(500,619),#what(361,47)@&amp;;@+mul(580,98)&lt;&gt;#why():$from()(!mul(660,615):where()mul(596,918)how()[what()how()who()]@mul(594,699)$&gt;$&amp;why()mul(951,813)mul(948,41)]mul(699,225)&gt;mul(840,275):@~^@%^select()mul(695,594)what()-&gt;-mul(409,636)@ {++mul(999,290)when(339,689),[+[+?mul(558,848)how(),what()&amp;}]{mul(344,337)$)$]+,$,,why()</v>
      </c>
      <c r="AA7" s="1" t="str">
        <v>::select()^:mul(796,16)mul(526,718) mul(66,417)#@&gt;~</v>
      </c>
      <c r="AB7" s="1" t="str">
        <v>why()from()/select()when():&amp;mul(8,111);!where()</v>
      </c>
      <c r="AC7" s="1" t="str">
        <v>}@mul(433,239)*}how() {^!</v>
      </c>
      <c r="AD7" s="1" t="str">
        <v>#^mul(167,905)-&amp;%(mul(979,711)when()]who()'?mul(523,172)[^what(844,455)'what()[/~@mul(928,776)where()]&amp;/mul(587,380)who()/when()how()from(),}#}mul(97,952)select(837,505)~@&gt;~%mul(486,198)^!mul(968,779)</v>
      </c>
      <c r="AE7" s="1" t="str">
        <v>[mul(206,321);,where()where())how()}/mul(6,867)-&amp;&lt;!*select()mul(615,984)~?who()#&lt;{how()?@mul(617,643){ @,'why()+&gt;what()(mul(683,583)^(mul(244,555)^where()(how()what()?-[,who()mul(827,305);&amp;,!$*?mul(793,452)^ )+(%-where()&lt;mul(318,238)&lt;$-what()mul(802,394)?how()&lt;mul(488,879)</v>
      </c>
      <c r="AF7" s="1" t="str">
        <v>$}&lt;:&amp;mul(429,358)~how()mul(36,174)mul(87,398)+%what()]mul(822,311)mul(379,261)~when()mul(618,193)@)!))-what()how(645,829)[mul(964,102);who()</v>
      </c>
      <c r="AG7" s="1" t="str">
        <v>+select()why()mul(496,383),&amp;why()(-;)+!#mul(79,135)~{mul(500,619),#what(361,47)@&amp;;@+mul(580,98)&lt;&gt;#why():$from()(!mul(660,615):where()mul(596,918)how()[what()how()who()]@mul(594,699)$&gt;$&amp;why()mul(951,813)mul(948,41)]mul(699,225)&gt;mul(840,275):@~^@%^select()mul(695,594)what()-&gt;-mul(409,636)@ {++mul(999,290)when(339,689),[+[+?mul(558,848)how(),what()&amp;}]{mul(344,337)$)$]+,$,,why()</v>
      </c>
      <c r="AH7" s="1" t="str">
        <v>548,799)-&lt;what()</v>
      </c>
      <c r="AI7" s="1" t="str">
        <v>548,799</v>
      </c>
      <c r="AJ7" s="1" t="str">
        <v>548</v>
      </c>
      <c r="AK7" s="1" t="str">
        <v>799</v>
      </c>
      <c r="AL7" s="1">
        <v>437852</v>
      </c>
    </row>
    <row r="8" spans="1:40" x14ac:dyDescent="0.3">
      <c r="A8" s="1" t="s">
        <v>4</v>
      </c>
      <c r="B8" s="1">
        <f>SUM(LEN(A8)-LEN(SUBSTITUTE(A8,"mul","")))/LEN("mul")</f>
        <v>133</v>
      </c>
      <c r="D8" s="2">
        <v>5</v>
      </c>
      <c r="E8" s="2">
        <f>SEARCH("mul",$C$4,E7+1)</f>
        <v>89</v>
      </c>
      <c r="F8" s="2" t="str">
        <f>MID($C$4,E8,$F$1)</f>
        <v>mul(143,388)how</v>
      </c>
      <c r="G8" s="3">
        <f>SEARCH("(",F8)</f>
        <v>4</v>
      </c>
      <c r="H8" s="3">
        <f>SEARCH(",",F8)</f>
        <v>8</v>
      </c>
      <c r="I8" s="3">
        <f>SEARCH(")",F8)</f>
        <v>12</v>
      </c>
      <c r="J8" s="2" t="str">
        <f>IF(OR(ISERROR(G8),ISERROR(H8),ISERROR(I8)),"CORRUPT!","")</f>
        <v/>
      </c>
      <c r="K8" s="2" t="str">
        <f>IF(J8&lt;&gt;"","",MID(F8, G8+1, H8-G8-1))</f>
        <v>143</v>
      </c>
      <c r="L8" s="2">
        <f>IF(J8&lt;&gt;"","",LEN(K8))</f>
        <v>3</v>
      </c>
      <c r="M8" s="2" t="str">
        <f>IF(J8&lt;&gt;"","",MID(F8, H8+1, I8-H8-1))</f>
        <v>388</v>
      </c>
      <c r="N8" s="2">
        <f>IF(J8&lt;&gt;"","",LEN(M8))</f>
        <v>3</v>
      </c>
      <c r="O8" s="2">
        <f>IF(J8&lt;&gt;"","",K8*M8)</f>
        <v>55484</v>
      </c>
      <c r="R8" s="1" t="str">
        <v>588,631)^who()'@( [</v>
      </c>
      <c r="S8" s="1" t="str">
        <v>588,631</v>
      </c>
      <c r="T8" s="1" t="str">
        <v>588</v>
      </c>
      <c r="U8" s="1" t="str">
        <v>631</v>
      </c>
      <c r="V8" s="1">
        <v>371028</v>
      </c>
      <c r="Z8" s="1" t="str">
        <v>,[what(),,?select()why()@mul(121,293)select()@who()!mul(770,96)+;%from(467,168)mul(616,890)@%:)[mul(943,145) [from()&amp;where(283,130){*where()mul(649,49)select())mul(877,73)from()</v>
      </c>
      <c r="AA8" s="1" t="str">
        <v>where()?where()&gt;who()from()@who(){*mul(592,919)/:what():who()mul(213,139)what()$!?*how(934,24)$-who()(mul(661,7)?from(),}/who()mul(876,585)how()why():when()[@@mul(433,918)why()why(),*{who()when()who()mul(144,14/#(&lt;mul(656,306)&amp;what()&amp;{*@%select(709,225)/mul(843,135)who()$[</v>
      </c>
      <c r="AB8" s="1" t="e">
        <v>#N/A</v>
      </c>
      <c r="AC8" s="1" t="e">
        <v>#N/A</v>
      </c>
      <c r="AD8" s="1" t="e">
        <v>#N/A</v>
      </c>
      <c r="AE8" s="1" t="e">
        <v>#N/A</v>
      </c>
      <c r="AF8" s="1" t="e">
        <v>#N/A</v>
      </c>
      <c r="AG8" s="1" t="str">
        <v>,[what(),,?select()why()@mul(121,293)select()@who()!mul(770,96)+;%from(467,168)mul(616,890)@%:)[mul(943,145) [from()&amp;where(283,130){*where()mul(649,49)select())mul(877,73)from()</v>
      </c>
      <c r="AH8" s="1" t="str">
        <v>588,631)^who()'@( [</v>
      </c>
      <c r="AI8" s="1" t="str">
        <v>588,631</v>
      </c>
      <c r="AJ8" s="1" t="str">
        <v>588</v>
      </c>
      <c r="AK8" s="1" t="str">
        <v>631</v>
      </c>
      <c r="AL8" s="1">
        <v>371028</v>
      </c>
    </row>
    <row r="9" spans="1:40" x14ac:dyDescent="0.3">
      <c r="A9" s="1" t="s">
        <v>3</v>
      </c>
      <c r="B9" s="1">
        <f>SUM(LEN(A9)-LEN(SUBSTITUTE(A9,"mul","")))/LEN("mul")</f>
        <v>126</v>
      </c>
      <c r="D9" s="2">
        <v>6</v>
      </c>
      <c r="E9" s="2">
        <f>SEARCH("mul",$C$4,E8+1)</f>
        <v>129</v>
      </c>
      <c r="F9" s="2" t="str">
        <f>MID($C$4,E9,$F$1)</f>
        <v>mul(746,719)mul</v>
      </c>
      <c r="G9" s="3">
        <f>SEARCH("(",F9)</f>
        <v>4</v>
      </c>
      <c r="H9" s="3">
        <f>SEARCH(",",F9)</f>
        <v>8</v>
      </c>
      <c r="I9" s="3">
        <f>SEARCH(")",F9)</f>
        <v>12</v>
      </c>
      <c r="J9" s="2" t="str">
        <f>IF(OR(ISERROR(G9),ISERROR(H9),ISERROR(I9)),"CORRUPT!","")</f>
        <v/>
      </c>
      <c r="K9" s="2" t="str">
        <f>IF(J9&lt;&gt;"","",MID(F9, G9+1, H9-G9-1))</f>
        <v>746</v>
      </c>
      <c r="L9" s="2">
        <f>IF(J9&lt;&gt;"","",LEN(K9))</f>
        <v>3</v>
      </c>
      <c r="M9" s="2" t="str">
        <f>IF(J9&lt;&gt;"","",MID(F9, H9+1, I9-H9-1))</f>
        <v>719</v>
      </c>
      <c r="N9" s="2">
        <f>IF(J9&lt;&gt;"","",LEN(M9))</f>
        <v>3</v>
      </c>
      <c r="O9" s="2">
        <f>IF(J9&lt;&gt;"","",K9*M9)</f>
        <v>536374</v>
      </c>
      <c r="R9" s="1" t="str">
        <v>143,388)how(445,327))$ select()who()</v>
      </c>
      <c r="S9" s="1" t="str">
        <v>143,388</v>
      </c>
      <c r="T9" s="1" t="str">
        <v>143</v>
      </c>
      <c r="U9" s="1" t="str">
        <v>388</v>
      </c>
      <c r="V9" s="1">
        <v>55484</v>
      </c>
      <c r="Z9" s="1" t="str">
        <v>&lt;mul(576,966)^,?&gt;</v>
      </c>
      <c r="AA9" s="1" t="e">
        <v>#N/A</v>
      </c>
      <c r="AB9" s="1" t="e">
        <v>#N/A</v>
      </c>
      <c r="AC9" s="1" t="e">
        <v>#N/A</v>
      </c>
      <c r="AD9" s="1" t="e">
        <v>#N/A</v>
      </c>
      <c r="AE9" s="1" t="e">
        <v>#N/A</v>
      </c>
      <c r="AF9" s="1" t="e">
        <v>#N/A</v>
      </c>
      <c r="AG9" s="1" t="str">
        <v>&lt;mul(576,966)^,?&gt;</v>
      </c>
      <c r="AH9" s="1" t="str">
        <v>143,388)how(445,327))$ select()who()</v>
      </c>
      <c r="AI9" s="1" t="str">
        <v>143,388</v>
      </c>
      <c r="AJ9" s="1" t="str">
        <v>143</v>
      </c>
      <c r="AK9" s="1" t="str">
        <v>388</v>
      </c>
      <c r="AL9" s="1">
        <v>55484</v>
      </c>
    </row>
    <row r="10" spans="1:40" ht="15" thickBot="1" x14ac:dyDescent="0.35">
      <c r="B10" s="8">
        <f>SUM(B4:B9)</f>
        <v>777</v>
      </c>
      <c r="D10" s="2">
        <v>7</v>
      </c>
      <c r="E10" s="2">
        <f>SEARCH("mul",$C$4,E9+1)</f>
        <v>141</v>
      </c>
      <c r="F10" s="2" t="str">
        <f>MID($C$4,E10,$F$1)</f>
        <v>mul(963,262)}'*</v>
      </c>
      <c r="G10" s="3">
        <f>SEARCH("(",F10)</f>
        <v>4</v>
      </c>
      <c r="H10" s="3">
        <f>SEARCH(",",F10)</f>
        <v>8</v>
      </c>
      <c r="I10" s="3">
        <f>SEARCH(")",F10)</f>
        <v>12</v>
      </c>
      <c r="J10" s="2" t="str">
        <f>IF(OR(ISERROR(G10),ISERROR(H10),ISERROR(I10)),"CORRUPT!","")</f>
        <v/>
      </c>
      <c r="K10" s="2" t="str">
        <f>IF(J10&lt;&gt;"","",MID(F10, G10+1, H10-G10-1))</f>
        <v>963</v>
      </c>
      <c r="L10" s="2">
        <f>IF(J10&lt;&gt;"","",LEN(K10))</f>
        <v>3</v>
      </c>
      <c r="M10" s="2" t="str">
        <f>IF(J10&lt;&gt;"","",MID(F10, H10+1, I10-H10-1))</f>
        <v>262</v>
      </c>
      <c r="N10" s="2">
        <f>IF(J10&lt;&gt;"","",LEN(M10))</f>
        <v>3</v>
      </c>
      <c r="O10" s="2">
        <f>IF(J10&lt;&gt;"","",K10*M10)</f>
        <v>252306</v>
      </c>
      <c r="R10" s="1" t="str">
        <v>746,719)</v>
      </c>
      <c r="S10" s="1" t="str">
        <v>746,719</v>
      </c>
      <c r="T10" s="1" t="str">
        <v>746</v>
      </c>
      <c r="U10" s="1" t="str">
        <v>719</v>
      </c>
      <c r="V10" s="1">
        <v>536374</v>
      </c>
      <c r="Z10" s="1" t="str">
        <v>@(@{~why()[who()mul(394,492)where()/mul(508,797)-mul(150,832)+$@why()(why()~mul(527,236)&lt;</v>
      </c>
      <c r="AA10" s="1" t="e">
        <v>#N/A</v>
      </c>
      <c r="AB10" s="1" t="e">
        <v>#N/A</v>
      </c>
      <c r="AC10" s="1" t="e">
        <v>#N/A</v>
      </c>
      <c r="AD10" s="1" t="e">
        <v>#N/A</v>
      </c>
      <c r="AE10" s="1" t="e">
        <v>#N/A</v>
      </c>
      <c r="AF10" s="1" t="e">
        <v>#N/A</v>
      </c>
      <c r="AG10" s="1" t="str">
        <v>@(@{~why()[who()mul(394,492)where()/mul(508,797)-mul(150,832)+$@why()(why()~mul(527,236)&lt;</v>
      </c>
      <c r="AH10" s="1" t="str">
        <v>746,719)</v>
      </c>
      <c r="AI10" s="1" t="str">
        <v>746,719</v>
      </c>
      <c r="AJ10" s="1" t="str">
        <v>746</v>
      </c>
      <c r="AK10" s="1" t="str">
        <v>719</v>
      </c>
      <c r="AL10" s="1">
        <v>536374</v>
      </c>
    </row>
    <row r="11" spans="1:40" ht="15" thickTop="1" x14ac:dyDescent="0.3">
      <c r="D11" s="2">
        <v>8</v>
      </c>
      <c r="E11" s="2">
        <f>SEARCH("mul",$C$4,E10+1)</f>
        <v>188</v>
      </c>
      <c r="F11" s="2" t="str">
        <f>MID($C$4,E11,$F$1)</f>
        <v>mul(933,492)don</v>
      </c>
      <c r="G11" s="3">
        <f>SEARCH("(",F11)</f>
        <v>4</v>
      </c>
      <c r="H11" s="3">
        <f>SEARCH(",",F11)</f>
        <v>8</v>
      </c>
      <c r="I11" s="3">
        <f>SEARCH(")",F11)</f>
        <v>12</v>
      </c>
      <c r="J11" s="2" t="str">
        <f>IF(OR(ISERROR(G11),ISERROR(H11),ISERROR(I11)),"CORRUPT!","")</f>
        <v/>
      </c>
      <c r="K11" s="2" t="str">
        <f>IF(J11&lt;&gt;"","",MID(F11, G11+1, H11-G11-1))</f>
        <v>933</v>
      </c>
      <c r="L11" s="2">
        <f>IF(J11&lt;&gt;"","",LEN(K11))</f>
        <v>3</v>
      </c>
      <c r="M11" s="2" t="str">
        <f>IF(J11&lt;&gt;"","",MID(F11, H11+1, I11-H11-1))</f>
        <v>492</v>
      </c>
      <c r="N11" s="2">
        <f>IF(J11&lt;&gt;"","",LEN(M11))</f>
        <v>3</v>
      </c>
      <c r="O11" s="2">
        <f>IF(J11&lt;&gt;"","",K11*M11)</f>
        <v>459036</v>
      </c>
      <c r="R11" s="1" t="str">
        <v>963,262)}'*+why()&lt;?&amp;/select()don't()[%]% ^^</v>
      </c>
      <c r="S11" s="1" t="str">
        <v>963,262</v>
      </c>
      <c r="T11" s="1" t="str">
        <v>963</v>
      </c>
      <c r="U11" s="1" t="str">
        <v>262</v>
      </c>
      <c r="V11" s="1">
        <v>252306</v>
      </c>
      <c r="Z11" s="1" t="str">
        <v>!#{how()*!,!mul(177,945)'mul(5,181)#!#'&amp;?what()&amp;mul(10,492):%/'*mul(822,748){!*]who()when()&lt;!&lt;mul(21,920)+</v>
      </c>
      <c r="AA11" s="1" t="str">
        <v>-who()from(505,694)where()from()$who()where()where()/mul(827,561)how()when()mul(770,221)%when()who()mul(872,151)mul(453,84)['&amp;+:mul(258,293)@#,where()mul(264,689)mul(90[mul(94,665)-who()</v>
      </c>
      <c r="AB11" s="1" t="e">
        <v>#N/A</v>
      </c>
      <c r="AC11" s="1" t="e">
        <v>#N/A</v>
      </c>
      <c r="AD11" s="1" t="e">
        <v>#N/A</v>
      </c>
      <c r="AE11" s="1" t="e">
        <v>#N/A</v>
      </c>
      <c r="AF11" s="1" t="e">
        <v>#N/A</v>
      </c>
      <c r="AG11" s="1" t="str">
        <v>!#{how()*!,!mul(177,945)'mul(5,181)#!#'&amp;?what()&amp;mul(10,492):%/'*mul(822,748){!*]who()when()&lt;!&lt;mul(21,920)+</v>
      </c>
      <c r="AH11" s="1" t="str">
        <v>963,262)}'*+why()&lt;?&amp;/select()[%]% ^^</v>
      </c>
      <c r="AI11" s="1" t="str">
        <v>963,262</v>
      </c>
      <c r="AJ11" s="1" t="str">
        <v>963</v>
      </c>
      <c r="AK11" s="1" t="str">
        <v>262</v>
      </c>
      <c r="AL11" s="1">
        <v>252306</v>
      </c>
    </row>
    <row r="12" spans="1:40" x14ac:dyDescent="0.3">
      <c r="D12" s="2">
        <v>9</v>
      </c>
      <c r="E12" s="2">
        <f>SEARCH("mul",$C$4,E11+1)</f>
        <v>223</v>
      </c>
      <c r="F12" s="2" t="str">
        <f>MID($C$4,E12,$F$1)</f>
        <v>mul(583,700))!,</v>
      </c>
      <c r="G12" s="3">
        <f>SEARCH("(",F12)</f>
        <v>4</v>
      </c>
      <c r="H12" s="3">
        <f>SEARCH(",",F12)</f>
        <v>8</v>
      </c>
      <c r="I12" s="3">
        <f>SEARCH(")",F12)</f>
        <v>12</v>
      </c>
      <c r="J12" s="2" t="str">
        <f>IF(OR(ISERROR(G12),ISERROR(H12),ISERROR(I12)),"CORRUPT!","")</f>
        <v/>
      </c>
      <c r="K12" s="2" t="str">
        <f>IF(J12&lt;&gt;"","",MID(F12, G12+1, H12-G12-1))</f>
        <v>583</v>
      </c>
      <c r="L12" s="2">
        <f>IF(J12&lt;&gt;"","",LEN(K12))</f>
        <v>3</v>
      </c>
      <c r="M12" s="2" t="str">
        <f>IF(J12&lt;&gt;"","",MID(F12, H12+1, I12-H12-1))</f>
        <v>700</v>
      </c>
      <c r="N12" s="2">
        <f>IF(J12&lt;&gt;"","",LEN(M12))</f>
        <v>3</v>
      </c>
      <c r="O12" s="2">
        <f>IF(J12&lt;&gt;"","",K12*M12)</f>
        <v>408100</v>
      </c>
      <c r="R12" s="1" t="str">
        <v>933,492)don't() ^-who()(%how()]</v>
      </c>
      <c r="S12" s="1" t="str">
        <v>933,492</v>
      </c>
      <c r="T12" s="1" t="str">
        <v>933</v>
      </c>
      <c r="U12" s="1" t="str">
        <v>492</v>
      </c>
      <c r="V12" s="1">
        <v>459036</v>
      </c>
      <c r="Z12" s="1" t="str">
        <v>what()&gt;!:@!^&amp;!mul(324&gt;?!from()where())mul(731,184)#(}who()'mul(666,377)how()(;mul(346,141)^select()/@[$how()@]?mul(702,502,^where()&lt;}[mul(872,308)+^!&lt;@from() {:mul(537,974)%when()when()%mul(563,805)select()&gt;how()&gt;^';mul(643,555))where(290,606)who()?mul(656,803),?$/*?when()}@ mul(228,902)~/from(){where()what()&gt;@~mul(849,93)~+select()?-^}&lt;</v>
      </c>
      <c r="AA12" s="1" t="e">
        <v>#N/A</v>
      </c>
      <c r="AB12" s="1" t="e">
        <v>#N/A</v>
      </c>
      <c r="AC12" s="1" t="e">
        <v>#N/A</v>
      </c>
      <c r="AD12" s="1" t="e">
        <v>#N/A</v>
      </c>
      <c r="AE12" s="1" t="e">
        <v>#N/A</v>
      </c>
      <c r="AF12" s="1" t="e">
        <v>#N/A</v>
      </c>
      <c r="AG12" s="1" t="str">
        <v>what()&gt;!:@!^&amp;!mul(324&gt;?!from()where())mul(731,184)#(}who()'mul(666,377)how()(;mul(346,141)^select()/@[$how()@]?mul(702,502,^where()&lt;}[mul(872,308)+^!&lt;@from() {:mul(537,974)%when()when()%mul(563,805)select()&gt;how()&gt;^';mul(643,555))where(290,606)who()?mul(656,803),?$/*?when()}@ mul(228,902)~/from(){where()what()&gt;@~mul(849,93)~+select()?-^}&lt;</v>
      </c>
      <c r="AH12" s="1" t="str">
        <v>933,492) ^-who()(%how()]</v>
      </c>
      <c r="AI12" s="1" t="str">
        <v>933,492</v>
      </c>
      <c r="AJ12" s="1" t="str">
        <v>933</v>
      </c>
      <c r="AK12" s="1" t="str">
        <v>492</v>
      </c>
      <c r="AL12" s="1">
        <v>459036</v>
      </c>
    </row>
    <row r="13" spans="1:40" x14ac:dyDescent="0.3">
      <c r="D13" s="2">
        <v>10</v>
      </c>
      <c r="E13" s="2">
        <f>SEARCH("mul",$C$4,E12+1)</f>
        <v>245</v>
      </c>
      <c r="F13" s="2" t="str">
        <f>MID($C$4,E13,$F$1)</f>
        <v>mul(999,507)](m</v>
      </c>
      <c r="G13" s="3">
        <f>SEARCH("(",F13)</f>
        <v>4</v>
      </c>
      <c r="H13" s="3">
        <f>SEARCH(",",F13)</f>
        <v>8</v>
      </c>
      <c r="I13" s="3">
        <f>SEARCH(")",F13)</f>
        <v>12</v>
      </c>
      <c r="J13" s="2" t="str">
        <f>IF(OR(ISERROR(G13),ISERROR(H13),ISERROR(I13)),"CORRUPT!","")</f>
        <v/>
      </c>
      <c r="K13" s="2" t="str">
        <f>IF(J13&lt;&gt;"","",MID(F13, G13+1, H13-G13-1))</f>
        <v>999</v>
      </c>
      <c r="L13" s="2">
        <f>IF(J13&lt;&gt;"","",LEN(K13))</f>
        <v>3</v>
      </c>
      <c r="M13" s="2" t="str">
        <f>IF(J13&lt;&gt;"","",MID(F13, H13+1, I13-H13-1))</f>
        <v>507</v>
      </c>
      <c r="N13" s="2">
        <f>IF(J13&lt;&gt;"","",LEN(M13))</f>
        <v>3</v>
      </c>
      <c r="O13" s="2">
        <f>IF(J13&lt;&gt;"","",K13*M13)</f>
        <v>506493</v>
      </c>
      <c r="R13" s="1" t="str">
        <v>583,700))!,where()</v>
      </c>
      <c r="S13" s="1" t="str">
        <v>583,700</v>
      </c>
      <c r="T13" s="1" t="str">
        <v>583</v>
      </c>
      <c r="U13" s="1" t="str">
        <v>700</v>
      </c>
      <c r="V13" s="1">
        <v>408100</v>
      </c>
      <c r="Z13" s="1" t="str">
        <v>mul(844,117)(when()~,}# /:+mul(24,282)@where()~from()($what()what()*&lt;mul(886,107)[#;mul(725,121) %[&gt;mul(115,425)${what()mul(219,305)how()])from()&lt;mul(401,458)-from()+mul(92,705)}?/,(~+^mul(398,379)why()-!why(){}mul(618,341)how(818,559)'%}~+}'!&lt;mul(128,74)*- &amp;}+[mul(830,201)$when()mul(382,164) /&gt;select()~]~mul(41,659)&lt;'{where():#+)$mul(447,137)where(120,771)$@why()#mul(457,857)&lt;$from()$(who()@?mul(644,914)}mul(936,442);{*(why()mul(804,26);</v>
      </c>
      <c r="AA13" s="1" t="e">
        <v>#N/A</v>
      </c>
      <c r="AB13" s="1" t="e">
        <v>#N/A</v>
      </c>
      <c r="AC13" s="1" t="e">
        <v>#N/A</v>
      </c>
      <c r="AD13" s="1" t="e">
        <v>#N/A</v>
      </c>
      <c r="AE13" s="1" t="e">
        <v>#N/A</v>
      </c>
      <c r="AF13" s="1" t="e">
        <v>#N/A</v>
      </c>
      <c r="AG13" s="1" t="str">
        <v>mul(844,117)(when()~,}# /:+mul(24,282)@where()~from()($what()what()*&lt;mul(886,107)[#;mul(725,121) %[&gt;mul(115,425)${what()mul(219,305)how()])from()&lt;mul(401,458)-from()+mul(92,705)}?/,(~+^mul(398,379)why()-!why(){}mul(618,341)how(818,559)'%}~+}'!&lt;mul(128,74)*- &amp;}+[mul(830,201)$when()mul(382,164) /&gt;select()~]~mul(41,659)&lt;'{where():#+)$mul(447,137)where(120,771)$@why()#mul(457,857)&lt;$from()$(who()@?mul(644,914)}mul(936,442);{*(why()mul(804,26);</v>
      </c>
      <c r="AH13" s="1" t="str">
        <v>583,700))!,where()</v>
      </c>
      <c r="AI13" s="1" t="str">
        <v>583,700</v>
      </c>
      <c r="AJ13" s="1" t="str">
        <v>583</v>
      </c>
      <c r="AK13" s="1" t="str">
        <v>700</v>
      </c>
      <c r="AL13" s="1">
        <v>408100</v>
      </c>
    </row>
    <row r="14" spans="1:40" x14ac:dyDescent="0.3">
      <c r="D14" s="2">
        <v>11</v>
      </c>
      <c r="E14" s="2">
        <f>SEARCH("mul",$C$4,E13+1)</f>
        <v>259</v>
      </c>
      <c r="F14" s="2" t="str">
        <f>MID($C$4,E14,$F$1)</f>
        <v>mul(821,504)^%/</v>
      </c>
      <c r="G14" s="3">
        <f>SEARCH("(",F14)</f>
        <v>4</v>
      </c>
      <c r="H14" s="3">
        <f>SEARCH(",",F14)</f>
        <v>8</v>
      </c>
      <c r="I14" s="3">
        <f>SEARCH(")",F14)</f>
        <v>12</v>
      </c>
      <c r="J14" s="2" t="str">
        <f>IF(OR(ISERROR(G14),ISERROR(H14),ISERROR(I14)),"CORRUPT!","")</f>
        <v/>
      </c>
      <c r="K14" s="2" t="str">
        <f>IF(J14&lt;&gt;"","",MID(F14, G14+1, H14-G14-1))</f>
        <v>821</v>
      </c>
      <c r="L14" s="2">
        <f>IF(J14&lt;&gt;"","",LEN(K14))</f>
        <v>3</v>
      </c>
      <c r="M14" s="2" t="str">
        <f>IF(J14&lt;&gt;"","",MID(F14, H14+1, I14-H14-1))</f>
        <v>504</v>
      </c>
      <c r="N14" s="2">
        <f>IF(J14&lt;&gt;"","",LEN(M14))</f>
        <v>3</v>
      </c>
      <c r="O14" s="2">
        <f>IF(J14&lt;&gt;"","",K14*M14)</f>
        <v>413784</v>
      </c>
      <c r="R14" s="1" t="str">
        <v>999,507)](</v>
      </c>
      <c r="S14" s="1" t="str">
        <v>999,507</v>
      </c>
      <c r="T14" s="1" t="str">
        <v>999</v>
      </c>
      <c r="U14" s="1" t="str">
        <v>507</v>
      </c>
      <c r="V14" s="1">
        <v>506493</v>
      </c>
      <c r="Z14" s="1" t="str">
        <v>why(),+*how() @:mul(668,778)%select() who() (,where()mul(66,974)^)when():$who()mul(832,615)#mul(572,646)where()how()what()when(673,330)where()when()&amp;/mul(820,446)$why()where()mul(86,788)^~what()'mul(76,413)&amp;'how()mul(616,424)what()select()}from()(/;mul(651,36)!{ mul[*mul(469,702)who()?;mul(331,879)?*from(54,751)who()#+[ mul(182,296)where(607,734){mul(920,190) :mul(660,732)^who()who()*'!mul(3,615)+{why(168,603)when(), mul(254,713); where()*from()~ !!#mul(897,311)]mul(629;what(280,32)&gt;mul(194,563)^&lt;how()when() }#&lt;mul(27,237)?@where()mul(389,541)}'@when()}(*how()mul(671,516)</v>
      </c>
      <c r="AA14" s="1" t="str">
        <v xml:space="preserve"> ~select()!*']&gt;&amp;mulwho()when()'!what()why()?'}}!mul(414,213)$when()]+{why()mul(606,917)how()*?^,mul(292,543)&gt;mul(326,145)*(&amp;!;^:!#'mul;#@~where()&lt;mul(81,169)mul(436,774)+when()%+where()-[}+mul(425,438)when()/}what()mul(76,978)&gt;%;,from()select()mul(39,372)~[when()what()!+#who()]~mul(905,968from(843,581)(from()from()~what()how()when()mul(768,210)*mul(68,62)mul(777,345%{/select()%mul(458,251));what())how()where()how()when()mul(810,199)&lt;~mul(252,749)</v>
      </c>
      <c r="AB14" s="1" t="e">
        <v>#N/A</v>
      </c>
      <c r="AC14" s="1" t="e">
        <v>#N/A</v>
      </c>
      <c r="AD14" s="1" t="e">
        <v>#N/A</v>
      </c>
      <c r="AE14" s="1" t="e">
        <v>#N/A</v>
      </c>
      <c r="AF14" s="1" t="e">
        <v>#N/A</v>
      </c>
      <c r="AG14" s="1" t="str">
        <v>why(),+*how() @:mul(668,778)%select() who() (,where()mul(66,974)^)when():$who()mul(832,615)#mul(572,646)where()how()what()when(673,330)where()when()&amp;/mul(820,446)$why()where()mul(86,788)^~what()'mul(76,413)&amp;'how()mul(616,424)what()select()}from()(/;mul(651,36)!{ mul[*mul(469,702)who()?;mul(331,879)?*from(54,751)who()#+[ mul(182,296)where(607,734){mul(920,190) :mul(660,732)^who()who()*'!mul(3,615)+{why(168,603)when(), mul(254,713); where()*from()~ !!#mul(897,311)]mul(629;what(280,32)&gt;mul(194,563)^&lt;how()when() }#&lt;mul(27,237)?@where()mul(389,541)}'@when()}(*how()mul(671,516)</v>
      </c>
      <c r="AH14" s="1" t="str">
        <v>999,507)](</v>
      </c>
      <c r="AI14" s="1" t="str">
        <v>999,507</v>
      </c>
      <c r="AJ14" s="1" t="str">
        <v>999</v>
      </c>
      <c r="AK14" s="1" t="str">
        <v>507</v>
      </c>
      <c r="AL14" s="1">
        <v>506493</v>
      </c>
    </row>
    <row r="15" spans="1:40" x14ac:dyDescent="0.3">
      <c r="D15" s="2">
        <v>12</v>
      </c>
      <c r="E15" s="2">
        <f>SEARCH("mul",$C$4,E14+1)</f>
        <v>277</v>
      </c>
      <c r="F15" s="2" t="str">
        <f>MID($C$4,E15,$F$1)</f>
        <v>mul(471,220)who</v>
      </c>
      <c r="G15" s="3">
        <f>SEARCH("(",F15)</f>
        <v>4</v>
      </c>
      <c r="H15" s="3">
        <f>SEARCH(",",F15)</f>
        <v>8</v>
      </c>
      <c r="I15" s="3">
        <f>SEARCH(")",F15)</f>
        <v>12</v>
      </c>
      <c r="J15" s="2" t="str">
        <f>IF(OR(ISERROR(G15),ISERROR(H15),ISERROR(I15)),"CORRUPT!","")</f>
        <v/>
      </c>
      <c r="K15" s="2" t="str">
        <f>IF(J15&lt;&gt;"","",MID(F15, G15+1, H15-G15-1))</f>
        <v>471</v>
      </c>
      <c r="L15" s="2">
        <f>IF(J15&lt;&gt;"","",LEN(K15))</f>
        <v>3</v>
      </c>
      <c r="M15" s="2" t="str">
        <f>IF(J15&lt;&gt;"","",MID(F15, H15+1, I15-H15-1))</f>
        <v>220</v>
      </c>
      <c r="N15" s="2">
        <f>IF(J15&lt;&gt;"","",LEN(M15))</f>
        <v>3</v>
      </c>
      <c r="O15" s="2">
        <f>IF(J15&lt;&gt;"","",K15*M15)</f>
        <v>103620</v>
      </c>
      <c r="R15" s="1" t="str">
        <v>821,504)^%/;:-</v>
      </c>
      <c r="S15" s="1" t="str">
        <v>821,504</v>
      </c>
      <c r="T15" s="1" t="str">
        <v>821</v>
      </c>
      <c r="U15" s="1" t="str">
        <v>504</v>
      </c>
      <c r="V15" s="1">
        <v>413784</v>
      </c>
      <c r="Z15" s="1" t="str">
        <v>mul(915,327)(: mul(608,270)&lt;%[!}-&amp;mul(328,665)from()&gt;*)how()mul(836,471)mul(270,799);(why();&amp;~~mul(598,772)from()&gt;mul(409,297)$mul(469,982)mul(457,665):@&gt;{</v>
      </c>
      <c r="AA15" s="1" t="e">
        <v>#N/A</v>
      </c>
      <c r="AB15" s="1" t="e">
        <v>#N/A</v>
      </c>
      <c r="AC15" s="1" t="e">
        <v>#N/A</v>
      </c>
      <c r="AD15" s="1" t="e">
        <v>#N/A</v>
      </c>
      <c r="AE15" s="1" t="e">
        <v>#N/A</v>
      </c>
      <c r="AF15" s="1" t="e">
        <v>#N/A</v>
      </c>
      <c r="AG15" s="1" t="str">
        <v>mul(915,327)(: mul(608,270)&lt;%[!}-&amp;mul(328,665)from()&gt;*)how()mul(836,471)mul(270,799);(why();&amp;~~mul(598,772)from()&gt;mul(409,297)$mul(469,982)mul(457,665):@&gt;{</v>
      </c>
      <c r="AH15" s="1" t="str">
        <v>821,504)^%/;:-</v>
      </c>
      <c r="AI15" s="1" t="str">
        <v>821,504</v>
      </c>
      <c r="AJ15" s="1" t="str">
        <v>821</v>
      </c>
      <c r="AK15" s="1" t="str">
        <v>504</v>
      </c>
      <c r="AL15" s="1">
        <v>413784</v>
      </c>
    </row>
    <row r="16" spans="1:40" x14ac:dyDescent="0.3">
      <c r="D16" s="2">
        <v>13</v>
      </c>
      <c r="E16" s="2">
        <f>SEARCH("mul",$C$4,E15+1)</f>
        <v>309</v>
      </c>
      <c r="F16" s="2" t="str">
        <f>MID($C$4,E16,$F$1)</f>
        <v>mul(843,213),&lt;m</v>
      </c>
      <c r="G16" s="3">
        <f>SEARCH("(",F16)</f>
        <v>4</v>
      </c>
      <c r="H16" s="3">
        <f>SEARCH(",",F16)</f>
        <v>8</v>
      </c>
      <c r="I16" s="3">
        <f>SEARCH(")",F16)</f>
        <v>12</v>
      </c>
      <c r="J16" s="2" t="str">
        <f>IF(OR(ISERROR(G16),ISERROR(H16),ISERROR(I16)),"CORRUPT!","")</f>
        <v/>
      </c>
      <c r="K16" s="2" t="str">
        <f>IF(J16&lt;&gt;"","",MID(F16, G16+1, H16-G16-1))</f>
        <v>843</v>
      </c>
      <c r="L16" s="2">
        <f>IF(J16&lt;&gt;"","",LEN(K16))</f>
        <v>3</v>
      </c>
      <c r="M16" s="2" t="str">
        <f>IF(J16&lt;&gt;"","",MID(F16, H16+1, I16-H16-1))</f>
        <v>213</v>
      </c>
      <c r="N16" s="2">
        <f>IF(J16&lt;&gt;"","",LEN(M16))</f>
        <v>3</v>
      </c>
      <c r="O16" s="2">
        <f>IF(J16&lt;&gt;"","",K16*M16)</f>
        <v>179559</v>
      </c>
      <c r="R16" s="1" t="str">
        <v>471,220)who()&amp;'who(161,37)&lt;'</v>
      </c>
      <c r="S16" s="1" t="str">
        <v>471,220</v>
      </c>
      <c r="T16" s="1" t="str">
        <v>471</v>
      </c>
      <c r="U16" s="1" t="str">
        <v>220</v>
      </c>
      <c r="V16" s="1">
        <v>103620</v>
      </c>
      <c r="Z16" s="1" t="str">
        <v>why()&lt;+,mul(293,172select(816,987)}why()mul(372,420)why()%mul(105,735),&lt;]{mul?{$;&gt;from()what()-$;mul(348,90)from()what()~mul(634,662)^</v>
      </c>
      <c r="AA16" s="1" t="str">
        <v>$@]*)~,&amp;mul(226,996)when()%]what()!@/&amp;mul(322,135);who() &amp;^select()*&amp;}mul(967,104)from()}'who(701,7)~%[mul(687,163)@:&lt;!how(){^/who()@mul(497,664))@!-(who()&lt;mul(20,274)where(){%&lt;where()?&gt;+:mul(382,128)mul(831,450)mul(485,444)%^what()what()[$what()@}</v>
      </c>
      <c r="AB16" s="1" t="str">
        <v>-%?'mul(204,152);$'/mul(63,376)mul(387,70)~@'{,':&lt;mul(517,687)@ $^ )why()!mul(865,593)where(918,337)!;mul(786$$'$%why()select()[~$why()mul(667,335)~{+where()who()?from()mul(582,456)%,from()[from()how()mul(927,806)+(]?%mul(460,721)^^;^</v>
      </c>
      <c r="AC16" s="1" t="str">
        <v>,how()when()select(435,369)}&amp;mul(66[*how();&gt;why()(%{how()&lt;mul(997,260):'</v>
      </c>
      <c r="AD16" s="1" t="str">
        <v>%::&amp;what()}*who()mul(506,521)'who()%/!why()*&amp;!</v>
      </c>
      <c r="AE16" s="1" t="e">
        <v>#N/A</v>
      </c>
      <c r="AF16" s="1" t="e">
        <v>#N/A</v>
      </c>
      <c r="AG16" s="1" t="str">
        <v>why()&lt;+,mul(293,172select(816,987)}why()mul(372,420)why()%mul(105,735),&lt;]{mul?{$;&gt;from()what()-$;mul(348,90)from()what()~mul(634,662)^</v>
      </c>
      <c r="AH16" s="1" t="str">
        <v>471,220)who()&amp;'who(161,37)&lt;'</v>
      </c>
      <c r="AI16" s="1" t="str">
        <v>471,220</v>
      </c>
      <c r="AJ16" s="1" t="str">
        <v>471</v>
      </c>
      <c r="AK16" s="1" t="str">
        <v>220</v>
      </c>
      <c r="AL16" s="1">
        <v>103620</v>
      </c>
    </row>
    <row r="17" spans="4:38" x14ac:dyDescent="0.3">
      <c r="D17" s="2">
        <v>14</v>
      </c>
      <c r="E17" s="2">
        <f>SEARCH("mul",$C$4,E16+1)</f>
        <v>323</v>
      </c>
      <c r="F17" s="2" t="str">
        <f>MID($C$4,E17,$F$1)</f>
        <v>mul(298,802)-()</v>
      </c>
      <c r="G17" s="3">
        <f>SEARCH("(",F17)</f>
        <v>4</v>
      </c>
      <c r="H17" s="3">
        <f>SEARCH(",",F17)</f>
        <v>8</v>
      </c>
      <c r="I17" s="3">
        <f>SEARCH(")",F17)</f>
        <v>12</v>
      </c>
      <c r="J17" s="2" t="str">
        <f>IF(OR(ISERROR(G17),ISERROR(H17),ISERROR(I17)),"CORRUPT!","")</f>
        <v/>
      </c>
      <c r="K17" s="2" t="str">
        <f>IF(J17&lt;&gt;"","",MID(F17, G17+1, H17-G17-1))</f>
        <v>298</v>
      </c>
      <c r="L17" s="2">
        <f>IF(J17&lt;&gt;"","",LEN(K17))</f>
        <v>3</v>
      </c>
      <c r="M17" s="2" t="str">
        <f>IF(J17&lt;&gt;"","",MID(F17, H17+1, I17-H17-1))</f>
        <v>802</v>
      </c>
      <c r="N17" s="2">
        <f>IF(J17&lt;&gt;"","",LEN(M17))</f>
        <v>3</v>
      </c>
      <c r="O17" s="2">
        <f>IF(J17&lt;&gt;"","",K17*M17)</f>
        <v>238996</v>
      </c>
      <c r="R17" s="1" t="str">
        <v>843,213),&lt;</v>
      </c>
      <c r="S17" s="1" t="str">
        <v>843,213</v>
      </c>
      <c r="T17" s="1" t="str">
        <v>843</v>
      </c>
      <c r="U17" s="1" t="str">
        <v>213</v>
      </c>
      <c r="V17" s="1">
        <v>179559</v>
      </c>
      <c r="Z17" s="1" t="str">
        <v>#@&amp;mul(538,407)'^mul(84,106)'},#^where()%mul(105,225)-what()/how()/from()mul(49,421)@$)[)?why()'#}mul(707,127)@when() &amp;(mul(732,645)'from()'*when()why()from()[who(850,51)?mul(566,427)how()&gt;who()]',from()'how()why()mul(42,665)%'# [}mul(684,645){{%'mul(115,930)mul(552,181)mul(762,163)mul(202,193)+*[mul(525,337)+}-:](?^#mul(466,861)/</v>
      </c>
      <c r="AA17" s="1" t="str">
        <v>'(;mul(860,319);mul(48,137){when() ~:&lt; &lt;mul(317,942)'~&amp;#how()^mul(66,243)/(from()mul(678,119)when()!when()&gt;from()mul(3,497)?when()&lt; #?^@</v>
      </c>
      <c r="AB17" s="1" t="str">
        <v>&gt;;/?:mul(522,894)+{+mul(419,20)mul(139,677)where(119,273)*what()[^?mul(563,549)how()&lt;@'%mul(560,434)what()where(),mul(886,302)mul(632,393)*what()!}{mul(769,651)'(mul(267,514)-[how()^:mul(64,902)when()mul(356,352# ;'mul(267,302)#(mul@;~+mul(471,643)!from())!what()from()~mul(429,997)/-mul(401,220)&gt;{]what()what()@select()},mul(294,298)how()mul(230,3)/&amp;what()]&gt;]!how()/mul(888,907)](#&gt;~}+#mul(17,816)/[+when()&gt;from()]^:mul(94,85)#)'{mul(531,103){ {where()what()from()mul(127,712))what()&lt;mul(595,154)~&gt;!%from()'/how()*when(940,337)mul(259,916)+}!-}[mul(703,780++;select()?why()[{mul(221,199)+mul(303,268)$</v>
      </c>
      <c r="AC17" s="1" t="e">
        <v>#N/A</v>
      </c>
      <c r="AD17" s="1" t="e">
        <v>#N/A</v>
      </c>
      <c r="AE17" s="1" t="e">
        <v>#N/A</v>
      </c>
      <c r="AF17" s="1" t="e">
        <v>#N/A</v>
      </c>
      <c r="AG17" s="1" t="str">
        <v>#@&amp;mul(538,407)'^mul(84,106)'},#^where()%mul(105,225)-what()/how()/from()mul(49,421)@$)[)?why()'#}mul(707,127)@when() &amp;(mul(732,645)'from()'*when()why()from()[who(850,51)?mul(566,427)how()&gt;who()]',from()'how()why()mul(42,665)%'# [}mul(684,645){{%'mul(115,930)mul(552,181)mul(762,163)mul(202,193)+*[mul(525,337)+}-:](?^#mul(466,861)/</v>
      </c>
      <c r="AH17" s="1" t="str">
        <v>843,213),&lt;</v>
      </c>
      <c r="AI17" s="1" t="str">
        <v>843,213</v>
      </c>
      <c r="AJ17" s="1" t="str">
        <v>843</v>
      </c>
      <c r="AK17" s="1" t="str">
        <v>213</v>
      </c>
      <c r="AL17" s="1">
        <v>179559</v>
      </c>
    </row>
    <row r="18" spans="4:38" x14ac:dyDescent="0.3">
      <c r="D18" s="2">
        <v>15</v>
      </c>
      <c r="E18" s="2">
        <f>SEARCH("mul",$C$4,E17+1)</f>
        <v>355</v>
      </c>
      <c r="F18" s="2" t="str">
        <f>MID($C$4,E18,$F$1)</f>
        <v>mul(910,85)'whe</v>
      </c>
      <c r="G18" s="3">
        <f>SEARCH("(",F18)</f>
        <v>4</v>
      </c>
      <c r="H18" s="3">
        <f>SEARCH(",",F18)</f>
        <v>8</v>
      </c>
      <c r="I18" s="3">
        <f>SEARCH(")",F18)</f>
        <v>11</v>
      </c>
      <c r="J18" s="2" t="str">
        <f>IF(OR(ISERROR(G18),ISERROR(H18),ISERROR(I18)),"CORRUPT!","")</f>
        <v/>
      </c>
      <c r="K18" s="2" t="str">
        <f>IF(J18&lt;&gt;"","",MID(F18, G18+1, H18-G18-1))</f>
        <v>910</v>
      </c>
      <c r="L18" s="2">
        <f>IF(J18&lt;&gt;"","",LEN(K18))</f>
        <v>3</v>
      </c>
      <c r="M18" s="2" t="str">
        <f>IF(J18&lt;&gt;"","",MID(F18, H18+1, I18-H18-1))</f>
        <v>85</v>
      </c>
      <c r="N18" s="2">
        <f>IF(J18&lt;&gt;"","",LEN(M18))</f>
        <v>2</v>
      </c>
      <c r="O18" s="2">
        <f>IF(J18&lt;&gt;"","",K18*M18)</f>
        <v>77350</v>
      </c>
      <c r="R18" s="1" t="str">
        <v>298,802)-()@how()where()@+[:</v>
      </c>
      <c r="S18" s="1" t="str">
        <v>298,802</v>
      </c>
      <c r="T18" s="1" t="str">
        <v>298</v>
      </c>
      <c r="U18" s="1" t="str">
        <v>802</v>
      </c>
      <c r="V18" s="1">
        <v>238996</v>
      </c>
      <c r="Z18" s="1" t="str">
        <v>'[what();^mul(542,561);who()&amp;,mul(68,800)[&lt;'{}why()?^from()mul(26,194)?]who():;mul(641,921)#&amp;where()mul(539,571)select()]~%%]when())mul(833,642);mul(209,564)}&lt;^)when()mul(648,430/(#)/?(';where()what()mul(818,526) ]!what()</v>
      </c>
      <c r="AA18" s="1" t="str">
        <v xml:space="preserve"> &lt;;:mulfrom() @-&lt;select()what(557,962)$%mul(83,808)from()% {)mul(894,523){~?@'&amp;,how()&gt;mul(764,627)#/mul(887,607), </v>
      </c>
      <c r="AB18" s="1" t="str">
        <v>$(},#^}}from()how()mul(184,287)where()$^mul(859,310){who()how()mul(692,592){&gt;?&amp;mul(223,912)what()^@ {{^@/mul(736,965)$)]];-#@&amp;mul(600,145)~/}*-}how()mul(893,646):where()}mul(205,416)what()from()mul(35,844)mul(94,245))/&lt;#&lt;/$when()who(236,448)mul(943,490)^?*!mul(187,639)select()mul(105,840)#;-;((&amp;,select()mul(495,135)</v>
      </c>
      <c r="AC18" s="1" t="e">
        <v>#N/A</v>
      </c>
      <c r="AD18" s="1" t="e">
        <v>#N/A</v>
      </c>
      <c r="AE18" s="1" t="e">
        <v>#N/A</v>
      </c>
      <c r="AF18" s="1" t="e">
        <v>#N/A</v>
      </c>
      <c r="AG18" s="1" t="str">
        <v>'[what();^mul(542,561);who()&amp;,mul(68,800)[&lt;'{}why()?^from()mul(26,194)?]who():;mul(641,921)#&amp;where()mul(539,571)select()]~%%]when())mul(833,642);mul(209,564)}&lt;^)when()mul(648,430/(#)/?(';where()what()mul(818,526) ]!what()</v>
      </c>
      <c r="AH18" s="1" t="str">
        <v>298,802)-()@how()where()@+[:</v>
      </c>
      <c r="AI18" s="1" t="str">
        <v>298,802</v>
      </c>
      <c r="AJ18" s="1" t="str">
        <v>298</v>
      </c>
      <c r="AK18" s="1" t="str">
        <v>802</v>
      </c>
      <c r="AL18" s="1">
        <v>238996</v>
      </c>
    </row>
    <row r="19" spans="4:38" x14ac:dyDescent="0.3">
      <c r="D19" s="2">
        <v>16</v>
      </c>
      <c r="E19" s="2">
        <f>SEARCH("mul",$C$4,E18+1)</f>
        <v>386</v>
      </c>
      <c r="F19" s="2" t="str">
        <f>MID($C$4,E19,$F$1)</f>
        <v>mul(532,213)*fr</v>
      </c>
      <c r="G19" s="3">
        <f>SEARCH("(",F19)</f>
        <v>4</v>
      </c>
      <c r="H19" s="3">
        <f>SEARCH(",",F19)</f>
        <v>8</v>
      </c>
      <c r="I19" s="3">
        <f>SEARCH(")",F19)</f>
        <v>12</v>
      </c>
      <c r="J19" s="2" t="str">
        <f>IF(OR(ISERROR(G19),ISERROR(H19),ISERROR(I19)),"CORRUPT!","")</f>
        <v/>
      </c>
      <c r="K19" s="2" t="str">
        <f>IF(J19&lt;&gt;"","",MID(F19, G19+1, H19-G19-1))</f>
        <v>532</v>
      </c>
      <c r="L19" s="2">
        <f>IF(J19&lt;&gt;"","",LEN(K19))</f>
        <v>3</v>
      </c>
      <c r="M19" s="2" t="str">
        <f>IF(J19&lt;&gt;"","",MID(F19, H19+1, I19-H19-1))</f>
        <v>213</v>
      </c>
      <c r="N19" s="2">
        <f>IF(J19&lt;&gt;"","",LEN(M19))</f>
        <v>3</v>
      </c>
      <c r="O19" s="2">
        <f>IF(J19&lt;&gt;"","",K19*M19)</f>
        <v>113316</v>
      </c>
      <c r="R19" s="1" t="str">
        <v>910,85)'when()($select()%-*</v>
      </c>
      <c r="S19" s="1" t="str">
        <v>910,85</v>
      </c>
      <c r="T19" s="1" t="str">
        <v>910</v>
      </c>
      <c r="U19" s="1" t="str">
        <v>85</v>
      </c>
      <c r="V19" s="1">
        <v>77350</v>
      </c>
      <c r="Z19" s="1" t="str">
        <v>when()(&amp;mul(129,293)}}{~from()]select()*+mul(724,202)mul(540,481)+when()$&gt;&lt;from()?$#mul(604,366)where()why()^select()mul(82,14){]what()##/^mul(661$mul(576,422)!}*mul(968,267)mul(501,251)&lt;[,mul(999-mul(61,600)how()~ how()#&amp;mul(488,199)+})who()# @what()mul(695,154)!{[</v>
      </c>
      <c r="AA19" s="1" t="e">
        <v>#N/A</v>
      </c>
      <c r="AB19" s="1" t="e">
        <v>#N/A</v>
      </c>
      <c r="AC19" s="1" t="e">
        <v>#N/A</v>
      </c>
      <c r="AD19" s="1" t="e">
        <v>#N/A</v>
      </c>
      <c r="AE19" s="1" t="e">
        <v>#N/A</v>
      </c>
      <c r="AF19" s="1" t="e">
        <v>#N/A</v>
      </c>
      <c r="AG19" s="1" t="str">
        <v>when()(&amp;mul(129,293)}}{~from()]select()*+mul(724,202)mul(540,481)+when()$&gt;&lt;from()?$#mul(604,366)where()why()^select()mul(82,14){]what()##/^mul(661$mul(576,422)!}*mul(968,267)mul(501,251)&lt;[,mul(999-mul(61,600)how()~ how()#&amp;mul(488,199)+})who()# @what()mul(695,154)!{[</v>
      </c>
      <c r="AH19" s="1" t="str">
        <v>910,85)'when()($select()%-*</v>
      </c>
      <c r="AI19" s="1" t="str">
        <v>910,85</v>
      </c>
      <c r="AJ19" s="1" t="str">
        <v>910</v>
      </c>
      <c r="AK19" s="1" t="str">
        <v>85</v>
      </c>
      <c r="AL19" s="1">
        <v>77350</v>
      </c>
    </row>
    <row r="20" spans="4:38" x14ac:dyDescent="0.3">
      <c r="D20" s="2">
        <v>17</v>
      </c>
      <c r="E20" s="2">
        <f>SEARCH("mul",$C$4,E19+1)</f>
        <v>421</v>
      </c>
      <c r="F20" s="2" t="str">
        <f>MID($C$4,E20,$F$1)</f>
        <v>mul(956,380)mul</v>
      </c>
      <c r="G20" s="3">
        <f>SEARCH("(",F20)</f>
        <v>4</v>
      </c>
      <c r="H20" s="3">
        <f>SEARCH(",",F20)</f>
        <v>8</v>
      </c>
      <c r="I20" s="3">
        <f>SEARCH(")",F20)</f>
        <v>12</v>
      </c>
      <c r="J20" s="2" t="str">
        <f>IF(OR(ISERROR(G20),ISERROR(H20),ISERROR(I20)),"CORRUPT!","")</f>
        <v/>
      </c>
      <c r="K20" s="2" t="str">
        <f>IF(J20&lt;&gt;"","",MID(F20, G20+1, H20-G20-1))</f>
        <v>956</v>
      </c>
      <c r="L20" s="2">
        <f>IF(J20&lt;&gt;"","",LEN(K20))</f>
        <v>3</v>
      </c>
      <c r="M20" s="2" t="str">
        <f>IF(J20&lt;&gt;"","",MID(F20, H20+1, I20-H20-1))</f>
        <v>380</v>
      </c>
      <c r="N20" s="2">
        <f>IF(J20&lt;&gt;"","",LEN(M20))</f>
        <v>3</v>
      </c>
      <c r="O20" s="2">
        <f>IF(J20&lt;&gt;"","",K20*M20)</f>
        <v>363280</v>
      </c>
      <c r="R20" s="1" t="str">
        <v>532,213)*from()select()$,what()</v>
      </c>
      <c r="S20" s="1" t="str">
        <v>532,213</v>
      </c>
      <c r="T20" s="1" t="str">
        <v>532</v>
      </c>
      <c r="U20" s="1" t="str">
        <v>213</v>
      </c>
      <c r="V20" s="1">
        <v>113316</v>
      </c>
      <c r="Z20" s="1" t="str">
        <v>mul(454,729)what():(&lt;%mul(656,115)from()!]when()when():?,mul(536,421)}select()when()&lt;mul(550,82)(:mul(482,346)}%when()&gt;+mul(189,780)from()how()#&lt; ^</v>
      </c>
      <c r="AA20" s="1" t="e">
        <v>#N/A</v>
      </c>
      <c r="AB20" s="1" t="e">
        <v>#N/A</v>
      </c>
      <c r="AC20" s="1" t="e">
        <v>#N/A</v>
      </c>
      <c r="AD20" s="1" t="e">
        <v>#N/A</v>
      </c>
      <c r="AE20" s="1" t="e">
        <v>#N/A</v>
      </c>
      <c r="AF20" s="1" t="e">
        <v>#N/A</v>
      </c>
      <c r="AG20" s="1" t="str">
        <v>mul(454,729)what():(&lt;%mul(656,115)from()!]when()when():?,mul(536,421)}select()when()&lt;mul(550,82)(:mul(482,346)}%when()&gt;+mul(189,780)from()how()#&lt; ^</v>
      </c>
      <c r="AH20" s="1" t="str">
        <v>532,213)*from()select()$,what()</v>
      </c>
      <c r="AI20" s="1" t="str">
        <v>532,213</v>
      </c>
      <c r="AJ20" s="1" t="str">
        <v>532</v>
      </c>
      <c r="AK20" s="1" t="str">
        <v>213</v>
      </c>
      <c r="AL20" s="1">
        <v>113316</v>
      </c>
    </row>
    <row r="21" spans="4:38" x14ac:dyDescent="0.3">
      <c r="D21" s="2">
        <v>18</v>
      </c>
      <c r="E21" s="2">
        <f>SEARCH("mul",$C$4,E20+1)</f>
        <v>433</v>
      </c>
      <c r="F21" s="2" t="str">
        <f>MID($C$4,E21,$F$1)</f>
        <v>mul(326,87)mul(</v>
      </c>
      <c r="G21" s="3">
        <f>SEARCH("(",F21)</f>
        <v>4</v>
      </c>
      <c r="H21" s="3">
        <f>SEARCH(",",F21)</f>
        <v>8</v>
      </c>
      <c r="I21" s="3">
        <f>SEARCH(")",F21)</f>
        <v>11</v>
      </c>
      <c r="J21" s="2" t="str">
        <f>IF(OR(ISERROR(G21),ISERROR(H21),ISERROR(I21)),"CORRUPT!","")</f>
        <v/>
      </c>
      <c r="K21" s="2" t="str">
        <f>IF(J21&lt;&gt;"","",MID(F21, G21+1, H21-G21-1))</f>
        <v>326</v>
      </c>
      <c r="L21" s="2">
        <f>IF(J21&lt;&gt;"","",LEN(K21))</f>
        <v>3</v>
      </c>
      <c r="M21" s="2" t="str">
        <f>IF(J21&lt;&gt;"","",MID(F21, H21+1, I21-H21-1))</f>
        <v>87</v>
      </c>
      <c r="N21" s="2">
        <f>IF(J21&lt;&gt;"","",LEN(M21))</f>
        <v>2</v>
      </c>
      <c r="O21" s="2">
        <f>IF(J21&lt;&gt;"","",K21*M21)</f>
        <v>28362</v>
      </c>
      <c r="R21" s="1" t="str">
        <v>956,380)</v>
      </c>
      <c r="S21" s="1" t="str">
        <v>956,380</v>
      </c>
      <c r="T21" s="1" t="str">
        <v>956</v>
      </c>
      <c r="U21" s="1" t="str">
        <v>380</v>
      </c>
      <c r="V21" s="1">
        <v>363280</v>
      </c>
      <c r="Z21" s="1" t="str">
        <v>why()&amp;who()where(){ &gt;:mul(638,986)*+&lt; ;mul(131,393),how(419,400)*@how()mul(856,729)who()$$[$[select()~&lt;mul(553,105)why(720,700)']mul(780,579)}what()select()who()~//}^mul(811,393))/&lt;#,mul(530,118)@'%&lt;~mul(640,727)'-]:-:]+mul(124,151)~@{why()@/why()mul(523,641)'%select())/mul(70,234)-$#mul(589,488)^:how()(when()mul(66,473)$/!-{from()%]#]mul(417,212)~&gt;{(when()$mul(613,175)}mul(503,337)~)what() mul:!-*}?~who()&lt;mul(709,759)}what()^where()when()!select(820,39)]::mul(884,175):#mul(852,584)&gt;-mul(649,886)+how(738,973)when()[(mul(593,702)where()%%^(]who()mul(456,697)%~^'when()how()mul(789,446)mul(737,439)mul(830,910):&gt;why()when()how()'?]why()&gt;</v>
      </c>
      <c r="AA21" s="1" t="str">
        <v>#'&amp;why()'from()mul(972,441):mul(157,521)mul(43,224):$who()&gt;select()how()mul(52,740)'mul(136,716)select()mul(613,433)]&gt;$^when()why()where()how();mul(978,314))$mul(695,29)}mul(778,660){how()&lt;+$?mul(402,606)select()+~$</v>
      </c>
      <c r="AB21" s="1" t="str">
        <v>mul(262,94)how()why()))#'^$@mul}mul(201,86)*select()mul(876,626)why()mul(174,750)where()(from()(mul(433,335)]@mul(29,940) :~what()$}where()select()mul(416,920)^&amp;%&lt;~^mul(276,648)mul(636,17);why()}-}mul(810,73)&lt;@} how():from(900,831)what()mul(241,497)select()when()'&amp;{mul(603,108):[,mul(941,454) $@mul&gt;@&lt;}'[, $mul(510,523)where(), ~];mul(584,102)&lt;when()mul(907,301)]#select()select();{how()select()what()?mul(980,625)select())where(){:^mul(544,917)((how()['who()mul(628,364)who(272,887)@!^@{+~{</v>
      </c>
      <c r="AC21" s="1" t="e">
        <v>#N/A</v>
      </c>
      <c r="AD21" s="1" t="e">
        <v>#N/A</v>
      </c>
      <c r="AE21" s="1" t="e">
        <v>#N/A</v>
      </c>
      <c r="AF21" s="1" t="e">
        <v>#N/A</v>
      </c>
      <c r="AG21" s="1" t="str">
        <v>why()&amp;who()where(){ &gt;:mul(638,986)*+&lt; ;mul(131,393),how(419,400)*@how()mul(856,729)who()$$[$[select()~&lt;mul(553,105)why(720,700)']mul(780,579)}what()select()who()~//}^mul(811,393))/&lt;#,mul(530,118)@'%&lt;~mul(640,727)'-]:-:]+mul(124,151)~@{why()@/why()mul(523,641)'%select())/mul(70,234)-$#mul(589,488)^:how()(when()mul(66,473)$/!-{from()%]#]mul(417,212)~&gt;{(when()$mul(613,175)}mul(503,337)~)what() mul:!-*}?~who()&lt;mul(709,759)}what()^where()when()!select(820,39)]::mul(884,175):#mul(852,584)&gt;-mul(649,886)+how(738,973)when()[(mul(593,702)where()%%^(]who()mul(456,697)%~^'when()how()mul(789,446)mul(737,439)mul(830,910):&gt;why()when()how()'?]why()&gt;</v>
      </c>
      <c r="AH21" s="1" t="str">
        <v>956,380)</v>
      </c>
      <c r="AI21" s="1" t="str">
        <v>956,380</v>
      </c>
      <c r="AJ21" s="1" t="str">
        <v>956</v>
      </c>
      <c r="AK21" s="1" t="str">
        <v>380</v>
      </c>
      <c r="AL21" s="1">
        <v>363280</v>
      </c>
    </row>
    <row r="22" spans="4:38" x14ac:dyDescent="0.3">
      <c r="D22" s="2">
        <v>19</v>
      </c>
      <c r="E22" s="2">
        <f>SEARCH("mul",$C$4,E21+1)</f>
        <v>444</v>
      </c>
      <c r="F22" s="2" t="str">
        <f>MID($C$4,E22,$F$1)</f>
        <v>mul(243,775)!/:</v>
      </c>
      <c r="G22" s="3">
        <f>SEARCH("(",F22)</f>
        <v>4</v>
      </c>
      <c r="H22" s="3">
        <f>SEARCH(",",F22)</f>
        <v>8</v>
      </c>
      <c r="I22" s="3">
        <f>SEARCH(")",F22)</f>
        <v>12</v>
      </c>
      <c r="J22" s="2" t="str">
        <f>IF(OR(ISERROR(G22),ISERROR(H22),ISERROR(I22)),"CORRUPT!","")</f>
        <v/>
      </c>
      <c r="K22" s="2" t="str">
        <f>IF(J22&lt;&gt;"","",MID(F22, G22+1, H22-G22-1))</f>
        <v>243</v>
      </c>
      <c r="L22" s="2">
        <f>IF(J22&lt;&gt;"","",LEN(K22))</f>
        <v>3</v>
      </c>
      <c r="M22" s="2" t="str">
        <f>IF(J22&lt;&gt;"","",MID(F22, H22+1, I22-H22-1))</f>
        <v>775</v>
      </c>
      <c r="N22" s="2">
        <f>IF(J22&lt;&gt;"","",LEN(M22))</f>
        <v>3</v>
      </c>
      <c r="O22" s="2">
        <f>IF(J22&lt;&gt;"","",K22*M22)</f>
        <v>188325</v>
      </c>
      <c r="R22" s="1" t="str">
        <v>326,87)</v>
      </c>
      <c r="S22" s="1" t="str">
        <v>326,87</v>
      </c>
      <c r="T22" s="1" t="str">
        <v>326</v>
      </c>
      <c r="U22" s="1" t="str">
        <v>87</v>
      </c>
      <c r="V22" s="1">
        <v>28362</v>
      </c>
      <c r="Z22" s="1" t="str">
        <v>when() )(from()what()when()-mul(95,412)(mul(127,442)/mul(658,920)from()from())!$&lt;&amp;*mul(45,446)what()where()&amp;![-% (%mul(304};</v>
      </c>
      <c r="AA22" s="1" t="str">
        <v xml:space="preserve">why(81,149)#^mul(181,603)where()^;{(! ^;mul(381,353)~@$mul(129,558)where()?from(): mul(573,183&lt;how()*how()(#(mul(626,301))?]/)how()mul(20,851)[$when()*how()mul(42,787)[! )@;:(;mul(98,614)why()mul(692,723)!'&gt;' </v>
      </c>
      <c r="AB22" s="1" t="str">
        <v>why()&lt;&amp;select(812,485)!mul(538,458)who()why()^'select(){{why()mul(773,196)when()why(713,26){,!</v>
      </c>
      <c r="AC22" s="1" t="str">
        <v>?why()!when(),?mul(234,541)mul(558]!(%;}'-mul(721,55)(&lt;%@$?mul(856,705]&gt;!#'++why() &gt;#!/usr/bin/perlfrom()mul(147,188)&lt;?$when()+$where()%mul(894,439)&gt;where()what()mul(221,687)/)from()'[{mul(9,723)[{/?who()where()mul(113,227)&gt; ~&gt;$)mul(663,198)&amp;[&gt;#mul(567,600)]when()$@select())(%&lt;&amp;mul(472,423)#when()&gt;(/]select()$;how(511,981)mul(785,371}-how():$where()(?~mul(731,455)mul(810,191);who()(@&gt;,? !$mul(534,231&amp;</v>
      </c>
      <c r="AD22" s="1" t="e">
        <v>#N/A</v>
      </c>
      <c r="AE22" s="1" t="e">
        <v>#N/A</v>
      </c>
      <c r="AF22" s="1" t="e">
        <v>#N/A</v>
      </c>
      <c r="AG22" s="1" t="str">
        <v>when() )(from()what()when()-mul(95,412)(mul(127,442)/mul(658,920)from()from())!$&lt;&amp;*mul(45,446)what()where()&amp;![-% (%mul(304};</v>
      </c>
      <c r="AH22" s="1" t="str">
        <v>326,87)</v>
      </c>
      <c r="AI22" s="1" t="str">
        <v>326,87</v>
      </c>
      <c r="AJ22" s="1" t="str">
        <v>326</v>
      </c>
      <c r="AK22" s="1" t="str">
        <v>87</v>
      </c>
      <c r="AL22" s="1">
        <v>28362</v>
      </c>
    </row>
    <row r="23" spans="4:38" x14ac:dyDescent="0.3">
      <c r="D23" s="2">
        <v>20</v>
      </c>
      <c r="E23" s="2">
        <f>SEARCH("mul",$C$4,E22+1)</f>
        <v>468</v>
      </c>
      <c r="F23" s="2" t="str">
        <f>MID($C$4,E23,$F$1)</f>
        <v>mul(118,409)!)w</v>
      </c>
      <c r="G23" s="3">
        <f>SEARCH("(",F23)</f>
        <v>4</v>
      </c>
      <c r="H23" s="3">
        <f>SEARCH(",",F23)</f>
        <v>8</v>
      </c>
      <c r="I23" s="3">
        <f>SEARCH(")",F23)</f>
        <v>12</v>
      </c>
      <c r="J23" s="2" t="str">
        <f>IF(OR(ISERROR(G23),ISERROR(H23),ISERROR(I23)),"CORRUPT!","")</f>
        <v/>
      </c>
      <c r="K23" s="2" t="str">
        <f>IF(J23&lt;&gt;"","",MID(F23, G23+1, H23-G23-1))</f>
        <v>118</v>
      </c>
      <c r="L23" s="2">
        <f>IF(J23&lt;&gt;"","",LEN(K23))</f>
        <v>3</v>
      </c>
      <c r="M23" s="2" t="str">
        <f>IF(J23&lt;&gt;"","",MID(F23, H23+1, I23-H23-1))</f>
        <v>409</v>
      </c>
      <c r="N23" s="2">
        <f>IF(J23&lt;&gt;"","",LEN(M23))</f>
        <v>3</v>
      </c>
      <c r="O23" s="2">
        <f>IF(J23&lt;&gt;"","",K23*M23)</f>
        <v>48262</v>
      </c>
      <c r="R23" s="1" t="str">
        <v>243,775)!/:from()&amp;^^</v>
      </c>
      <c r="S23" s="1" t="str">
        <v>243,775</v>
      </c>
      <c r="T23" s="1" t="str">
        <v>243</v>
      </c>
      <c r="U23" s="1" t="str">
        <v>775</v>
      </c>
      <c r="V23" s="1">
        <v>188325</v>
      </c>
      <c r="Z23" s="1" t="str">
        <v>;]why();,#;where()[,mul(190,923) }when()mul &lt;mul(909,876)[*~when()]mul(739,708)select()(@:~)/&lt;@,mul(794,354)&lt;mul(874,298)what()why()$+mul(669,535)&amp;!^mul(260,4))mul(641,230)mul(516,429)'mul(141,983)!}when()select()where()+}[)</v>
      </c>
      <c r="AA23" s="1" t="str">
        <v>&amp;&gt;:mul(525,573&lt;{what() *$?from()from(){mul(885,340)why()&gt;mul(398,414)?[where()&lt;what()from()^mul(746,645)where(586,97)+'mul(523,150)/%()~how()where(580,13)@mul(446,624),'-mul(605,440),from()$/-where()mul(17,117) &gt;$why()from())mul(988,667)mul(828,197)'why()/%*when()/*mul(799,415)where()]&lt;~ ?&gt;'-</v>
      </c>
      <c r="AB23" s="1" t="e">
        <v>#N/A</v>
      </c>
      <c r="AC23" s="1" t="e">
        <v>#N/A</v>
      </c>
      <c r="AD23" s="1" t="e">
        <v>#N/A</v>
      </c>
      <c r="AE23" s="1" t="e">
        <v>#N/A</v>
      </c>
      <c r="AF23" s="1" t="e">
        <v>#N/A</v>
      </c>
      <c r="AG23" s="1" t="str">
        <v>;]why();,#;where()[,mul(190,923) }when()mul &lt;mul(909,876)[*~when()]mul(739,708)select()(@:~)/&lt;@,mul(794,354)&lt;mul(874,298)what()why()$+mul(669,535)&amp;!^mul(260,4))mul(641,230)mul(516,429)'mul(141,983)!}when()select()where()+}[)</v>
      </c>
      <c r="AH23" s="1" t="str">
        <v>243,775)!/:from()&amp;^^</v>
      </c>
      <c r="AI23" s="1" t="str">
        <v>243,775</v>
      </c>
      <c r="AJ23" s="1" t="str">
        <v>243</v>
      </c>
      <c r="AK23" s="1" t="str">
        <v>775</v>
      </c>
      <c r="AL23" s="1">
        <v>188325</v>
      </c>
    </row>
    <row r="24" spans="4:38" x14ac:dyDescent="0.3">
      <c r="D24" s="2">
        <v>21</v>
      </c>
      <c r="E24" s="2">
        <f>SEARCH("mul",$C$4,E23+1)</f>
        <v>496</v>
      </c>
      <c r="F24" s="2" t="str">
        <f>MID($C$4,E24,$F$1)</f>
        <v>mul(610,89)mul(</v>
      </c>
      <c r="G24" s="3">
        <f>SEARCH("(",F24)</f>
        <v>4</v>
      </c>
      <c r="H24" s="3">
        <f>SEARCH(",",F24)</f>
        <v>8</v>
      </c>
      <c r="I24" s="3">
        <f>SEARCH(")",F24)</f>
        <v>11</v>
      </c>
      <c r="J24" s="2" t="str">
        <f>IF(OR(ISERROR(G24),ISERROR(H24),ISERROR(I24)),"CORRUPT!","")</f>
        <v/>
      </c>
      <c r="K24" s="2" t="str">
        <f>IF(J24&lt;&gt;"","",MID(F24, G24+1, H24-G24-1))</f>
        <v>610</v>
      </c>
      <c r="L24" s="2">
        <f>IF(J24&lt;&gt;"","",LEN(K24))</f>
        <v>3</v>
      </c>
      <c r="M24" s="2" t="str">
        <f>IF(J24&lt;&gt;"","",MID(F24, H24+1, I24-H24-1))</f>
        <v>89</v>
      </c>
      <c r="N24" s="2">
        <f>IF(J24&lt;&gt;"","",LEN(M24))</f>
        <v>2</v>
      </c>
      <c r="O24" s="2">
        <f>IF(J24&lt;&gt;"","",K24*M24)</f>
        <v>54290</v>
      </c>
      <c r="R24" s="1" t="str">
        <v>118,409)!)what()select()</v>
      </c>
      <c r="S24" s="1" t="str">
        <v>118,409</v>
      </c>
      <c r="T24" s="1" t="str">
        <v>118</v>
      </c>
      <c r="U24" s="1" t="str">
        <v>409</v>
      </c>
      <c r="V24" s="1">
        <v>48262</v>
      </c>
      <c r="Z24" s="1" t="str">
        <v>^[(' ]%^~%mul(122,243)why();[how(951,959)how(435,882)~*-#</v>
      </c>
      <c r="AA24" s="1" t="e">
        <v>#N/A</v>
      </c>
      <c r="AB24" s="1" t="e">
        <v>#N/A</v>
      </c>
      <c r="AC24" s="1" t="e">
        <v>#N/A</v>
      </c>
      <c r="AD24" s="1" t="e">
        <v>#N/A</v>
      </c>
      <c r="AE24" s="1" t="e">
        <v>#N/A</v>
      </c>
      <c r="AF24" s="1" t="e">
        <v>#N/A</v>
      </c>
      <c r="AG24" s="1" t="str">
        <v>^[(' ]%^~%mul(122,243)why();[how(951,959)how(435,882)~*-#</v>
      </c>
      <c r="AH24" s="1" t="str">
        <v>118,409)!)what()select()</v>
      </c>
      <c r="AI24" s="1" t="str">
        <v>118,409</v>
      </c>
      <c r="AJ24" s="1" t="str">
        <v>118</v>
      </c>
      <c r="AK24" s="1" t="str">
        <v>409</v>
      </c>
      <c r="AL24" s="1">
        <v>48262</v>
      </c>
    </row>
    <row r="25" spans="4:38" x14ac:dyDescent="0.3">
      <c r="D25" s="2">
        <v>22</v>
      </c>
      <c r="E25" s="2">
        <f>SEARCH("mul",$C$4,E24+1)</f>
        <v>507</v>
      </c>
      <c r="F25" s="2" t="str">
        <f>MID($C$4,E25,$F$1)</f>
        <v>mul(432,774)fro</v>
      </c>
      <c r="G25" s="3">
        <f>SEARCH("(",F25)</f>
        <v>4</v>
      </c>
      <c r="H25" s="3">
        <f>SEARCH(",",F25)</f>
        <v>8</v>
      </c>
      <c r="I25" s="3">
        <f>SEARCH(")",F25)</f>
        <v>12</v>
      </c>
      <c r="J25" s="2" t="str">
        <f>IF(OR(ISERROR(G25),ISERROR(H25),ISERROR(I25)),"CORRUPT!","")</f>
        <v/>
      </c>
      <c r="K25" s="2" t="str">
        <f>IF(J25&lt;&gt;"","",MID(F25, G25+1, H25-G25-1))</f>
        <v>432</v>
      </c>
      <c r="L25" s="2">
        <f>IF(J25&lt;&gt;"","",LEN(K25))</f>
        <v>3</v>
      </c>
      <c r="M25" s="2" t="str">
        <f>IF(J25&lt;&gt;"","",MID(F25, H25+1, I25-H25-1))</f>
        <v>774</v>
      </c>
      <c r="N25" s="2">
        <f>IF(J25&lt;&gt;"","",LEN(M25))</f>
        <v>3</v>
      </c>
      <c r="O25" s="2">
        <f>IF(J25&lt;&gt;"","",K25*M25)</f>
        <v>334368</v>
      </c>
      <c r="R25" s="1" t="str">
        <v>610,89)</v>
      </c>
      <c r="S25" s="1" t="str">
        <v>610,89</v>
      </c>
      <c r="T25" s="1" t="str">
        <v>610</v>
      </c>
      <c r="U25" s="1" t="str">
        <v>89</v>
      </c>
      <c r="V25" s="1">
        <v>54290</v>
      </c>
      <c r="Z25" s="1" t="str">
        <v>why()[what()what()'mul(218,944)!)&amp;&gt;'(where()+mul(686,595)#&amp;when()mul(916,990))what()mul(414,411)&gt;why()&amp;select()!}why() ?&gt;mul(820,386)select()mul(324,473)mul(690,413)!&gt;$why()mul(23,907)who()%&lt;who()))how()^mul(65,111)where()^$mul(793,643)&amp;who() mul(481,441)+&lt;mul(796,772)#^mul(827,58)]{where()*#&gt;mul(579,551)where()when()how()?~&amp;@-why()&gt;mul(359,283)[</v>
      </c>
      <c r="AA25" s="1" t="e">
        <v>#N/A</v>
      </c>
      <c r="AB25" s="1" t="e">
        <v>#N/A</v>
      </c>
      <c r="AC25" s="1" t="e">
        <v>#N/A</v>
      </c>
      <c r="AD25" s="1" t="e">
        <v>#N/A</v>
      </c>
      <c r="AE25" s="1" t="e">
        <v>#N/A</v>
      </c>
      <c r="AF25" s="1" t="e">
        <v>#N/A</v>
      </c>
      <c r="AG25" s="1" t="str">
        <v>why()[what()what()'mul(218,944)!)&amp;&gt;'(where()+mul(686,595)#&amp;when()mul(916,990))what()mul(414,411)&gt;why()&amp;select()!}why() ?&gt;mul(820,386)select()mul(324,473)mul(690,413)!&gt;$why()mul(23,907)who()%&lt;who()))how()^mul(65,111)where()^$mul(793,643)&amp;who() mul(481,441)+&lt;mul(796,772)#^mul(827,58)]{where()*#&gt;mul(579,551)where()when()how()?~&amp;@-why()&gt;mul(359,283)[</v>
      </c>
      <c r="AH25" s="1" t="str">
        <v>610,89)</v>
      </c>
      <c r="AI25" s="1" t="str">
        <v>610,89</v>
      </c>
      <c r="AJ25" s="1" t="str">
        <v>610</v>
      </c>
      <c r="AK25" s="1" t="str">
        <v>89</v>
      </c>
      <c r="AL25" s="1">
        <v>54290</v>
      </c>
    </row>
    <row r="26" spans="4:38" x14ac:dyDescent="0.3">
      <c r="D26" s="2">
        <v>23</v>
      </c>
      <c r="E26" s="2">
        <f>SEARCH("mul",$C$4,E25+1)</f>
        <v>534</v>
      </c>
      <c r="F26" s="2" t="str">
        <f>MID($C$4,E26,$F$1)</f>
        <v>mul(400,864):+&amp;</v>
      </c>
      <c r="G26" s="3">
        <f>SEARCH("(",F26)</f>
        <v>4</v>
      </c>
      <c r="H26" s="3">
        <f>SEARCH(",",F26)</f>
        <v>8</v>
      </c>
      <c r="I26" s="3">
        <f>SEARCH(")",F26)</f>
        <v>12</v>
      </c>
      <c r="J26" s="2" t="str">
        <f>IF(OR(ISERROR(G26),ISERROR(H26),ISERROR(I26)),"CORRUPT!","")</f>
        <v/>
      </c>
      <c r="K26" s="2" t="str">
        <f>IF(J26&lt;&gt;"","",MID(F26, G26+1, H26-G26-1))</f>
        <v>400</v>
      </c>
      <c r="L26" s="2">
        <f>IF(J26&lt;&gt;"","",LEN(K26))</f>
        <v>3</v>
      </c>
      <c r="M26" s="2" t="str">
        <f>IF(J26&lt;&gt;"","",MID(F26, H26+1, I26-H26-1))</f>
        <v>864</v>
      </c>
      <c r="N26" s="2">
        <f>IF(J26&lt;&gt;"","",LEN(M26))</f>
        <v>3</v>
      </c>
      <c r="O26" s="2">
        <f>IF(J26&lt;&gt;"","",K26*M26)</f>
        <v>345600</v>
      </c>
      <c r="R26" s="1" t="str">
        <v>432,774)from()# from()&lt;</v>
      </c>
      <c r="S26" s="1" t="str">
        <v>432,774</v>
      </c>
      <c r="T26" s="1" t="str">
        <v>432</v>
      </c>
      <c r="U26" s="1" t="str">
        <v>774</v>
      </c>
      <c r="V26" s="1">
        <v>334368</v>
      </c>
      <c r="Z26" s="1" t="str">
        <v xml:space="preserve"> }mul(238,664)!]~^^#(why()mul(128,702)mul(750,811)what()',</v>
      </c>
      <c r="AA26" s="1" t="str">
        <v>'@where()select()from(),/+&amp;mul(640,613),&amp;%+why()^from()from()*mul(314~${~*how()?what() mul(593,269)who()*mul(865,609)what()@~$+mul(784,462))],;;'what(){mul(902,580)when()&lt;{~ ?&gt;~how()mul(22,360)]mul(650,584)#select()!(why()/;+when()mul(173,450)where()mul(126,232)(?@/^how()why()who()mul(148,272)&amp;?when()where()]mul(93,105)?!}!:@!mul(428,270)- where(179,717)&gt;@!-,how()why()</v>
      </c>
      <c r="AB26" s="1" t="e">
        <v>#N/A</v>
      </c>
      <c r="AC26" s="1" t="e">
        <v>#N/A</v>
      </c>
      <c r="AD26" s="1" t="e">
        <v>#N/A</v>
      </c>
      <c r="AE26" s="1" t="e">
        <v>#N/A</v>
      </c>
      <c r="AF26" s="1" t="e">
        <v>#N/A</v>
      </c>
      <c r="AG26" s="1" t="str">
        <v xml:space="preserve"> }mul(238,664)!]~^^#(why()mul(128,702)mul(750,811)what()',</v>
      </c>
      <c r="AH26" s="1" t="str">
        <v>432,774)from()# from()&lt;</v>
      </c>
      <c r="AI26" s="1" t="str">
        <v>432,774</v>
      </c>
      <c r="AJ26" s="1" t="str">
        <v>432</v>
      </c>
      <c r="AK26" s="1" t="str">
        <v>774</v>
      </c>
      <c r="AL26" s="1">
        <v>334368</v>
      </c>
    </row>
    <row r="27" spans="4:38" x14ac:dyDescent="0.3">
      <c r="D27" s="2">
        <v>24</v>
      </c>
      <c r="E27" s="2">
        <f>SEARCH("mul",$C$4,E26+1)</f>
        <v>549</v>
      </c>
      <c r="F27" s="2" t="str">
        <f>MID($C$4,E27,$F$1)</f>
        <v>mul(957,923)'do</v>
      </c>
      <c r="G27" s="3">
        <f>SEARCH("(",F27)</f>
        <v>4</v>
      </c>
      <c r="H27" s="3">
        <f>SEARCH(",",F27)</f>
        <v>8</v>
      </c>
      <c r="I27" s="3">
        <f>SEARCH(")",F27)</f>
        <v>12</v>
      </c>
      <c r="J27" s="2" t="str">
        <f>IF(OR(ISERROR(G27),ISERROR(H27),ISERROR(I27)),"CORRUPT!","")</f>
        <v/>
      </c>
      <c r="K27" s="2" t="str">
        <f>IF(J27&lt;&gt;"","",MID(F27, G27+1, H27-G27-1))</f>
        <v>957</v>
      </c>
      <c r="L27" s="2">
        <f>IF(J27&lt;&gt;"","",LEN(K27))</f>
        <v>3</v>
      </c>
      <c r="M27" s="2" t="str">
        <f>IF(J27&lt;&gt;"","",MID(F27, H27+1, I27-H27-1))</f>
        <v>923</v>
      </c>
      <c r="N27" s="2">
        <f>IF(J27&lt;&gt;"","",LEN(M27))</f>
        <v>3</v>
      </c>
      <c r="O27" s="2">
        <f>IF(J27&lt;&gt;"","",K27*M27)</f>
        <v>883311</v>
      </c>
      <c r="R27" s="1" t="str">
        <v>400,864):+&amp;</v>
      </c>
      <c r="S27" s="1" t="str">
        <v>400,864</v>
      </c>
      <c r="T27" s="1" t="str">
        <v>400</v>
      </c>
      <c r="U27" s="1" t="str">
        <v>864</v>
      </c>
      <c r="V27" s="1">
        <v>345600</v>
      </c>
      <c r="Z27" s="1" t="str">
        <v>!where()who()$:&lt;mul(439,76)*,^mul~mul(69,32)!how()}**what()mul(496,817)when()*how()^+~how()from()mul{]&amp;when()-:}why(540,134)&gt;mul(472,276)&lt;'&amp;where()mul(334,580)'/-?+;(-mul(78,731)select()mul(584,89)*/&gt;</v>
      </c>
      <c r="AA27" s="1" t="e">
        <v>#N/A</v>
      </c>
      <c r="AB27" s="1" t="e">
        <v>#N/A</v>
      </c>
      <c r="AC27" s="1" t="e">
        <v>#N/A</v>
      </c>
      <c r="AD27" s="1" t="e">
        <v>#N/A</v>
      </c>
      <c r="AE27" s="1" t="e">
        <v>#N/A</v>
      </c>
      <c r="AF27" s="1" t="e">
        <v>#N/A</v>
      </c>
      <c r="AG27" s="1" t="str">
        <v>!where()who()$:&lt;mul(439,76)*,^mul~mul(69,32)!how()}**what()mul(496,817)when()*how()^+~how()from()mul{]&amp;when()-:}why(540,134)&gt;mul(472,276)&lt;'&amp;where()mul(334,580)'/-?+;(-mul(78,731)select()mul(584,89)*/&gt;</v>
      </c>
      <c r="AH27" s="1" t="str">
        <v>400,864):+&amp;</v>
      </c>
      <c r="AI27" s="1" t="str">
        <v>400,864</v>
      </c>
      <c r="AJ27" s="1" t="str">
        <v>400</v>
      </c>
      <c r="AK27" s="1" t="str">
        <v>864</v>
      </c>
      <c r="AL27" s="1">
        <v>345600</v>
      </c>
    </row>
    <row r="28" spans="4:38" x14ac:dyDescent="0.3">
      <c r="D28" s="2">
        <v>25</v>
      </c>
      <c r="E28" s="2">
        <f>SEARCH("mul",$C$4,E27+1)</f>
        <v>583</v>
      </c>
      <c r="F28" s="2" t="str">
        <f>MID($C$4,E28,$F$1)</f>
        <v>mul(496,383),&amp;w</v>
      </c>
      <c r="G28" s="3">
        <f>SEARCH("(",F28)</f>
        <v>4</v>
      </c>
      <c r="H28" s="3">
        <f>SEARCH(",",F28)</f>
        <v>8</v>
      </c>
      <c r="I28" s="3">
        <f>SEARCH(")",F28)</f>
        <v>12</v>
      </c>
      <c r="J28" s="2" t="str">
        <f>IF(OR(ISERROR(G28),ISERROR(H28),ISERROR(I28)),"CORRUPT!","")</f>
        <v/>
      </c>
      <c r="K28" s="2" t="str">
        <f>IF(J28&lt;&gt;"","",MID(F28, G28+1, H28-G28-1))</f>
        <v>496</v>
      </c>
      <c r="L28" s="2">
        <f>IF(J28&lt;&gt;"","",LEN(K28))</f>
        <v>3</v>
      </c>
      <c r="M28" s="2" t="str">
        <f>IF(J28&lt;&gt;"","",MID(F28, H28+1, I28-H28-1))</f>
        <v>383</v>
      </c>
      <c r="N28" s="2">
        <f>IF(J28&lt;&gt;"","",LEN(M28))</f>
        <v>3</v>
      </c>
      <c r="O28" s="2">
        <f>IF(J28&lt;&gt;"","",K28*M28)</f>
        <v>189968</v>
      </c>
      <c r="R28" s="1" t="str">
        <v>957,923)'don't()+select()why()</v>
      </c>
      <c r="S28" s="1" t="str">
        <v>957,923</v>
      </c>
      <c r="T28" s="1" t="str">
        <v>957</v>
      </c>
      <c r="U28" s="1" t="str">
        <v>923</v>
      </c>
      <c r="V28" s="1">
        <v>883311</v>
      </c>
      <c r="Z28" s="1" t="str">
        <v>/;''~how()?&lt;mul(106,855)']mul(996,656){%:mul(873,777);how()(:#mulwhere(939,627)#^&gt;&lt;mul(186,441)when()+?who()'$mul(297,888)how()%'?:-{&amp;mul(291,979)}&gt;# how(261,707)$],mul(983,656)*&gt; mul(340,628)]*][[/mul(193,206)(})~mul*/-#mul(976,903)%#why()$}-&amp;mul(734,303)what()[from()*-/why()</v>
      </c>
      <c r="AA28" s="1" t="str">
        <v>&amp;why()!*]@from()&amp;when()mul(339,902)from()([,[*^?how()mul(2,449)when()how()why()mul(799,379)-!#-mul(704,107)mul(205,807) :mul(787,710)mul(575,659)when(),];~'!mul(755,669){+&amp;%$-&lt;mul(533,448);#from()how()$what()-</v>
      </c>
      <c r="AB28" s="1" t="e">
        <v>#N/A</v>
      </c>
      <c r="AC28" s="1" t="e">
        <v>#N/A</v>
      </c>
      <c r="AD28" s="1" t="e">
        <v>#N/A</v>
      </c>
      <c r="AE28" s="1" t="e">
        <v>#N/A</v>
      </c>
      <c r="AF28" s="1" t="e">
        <v>#N/A</v>
      </c>
      <c r="AG28" s="1" t="str">
        <v>/;''~how()?&lt;mul(106,855)']mul(996,656){%:mul(873,777);how()(:#mulwhere(939,627)#^&gt;&lt;mul(186,441)when()+?who()'$mul(297,888)how()%'?:-{&amp;mul(291,979)}&gt;# how(261,707)$],mul(983,656)*&gt; mul(340,628)]*][[/mul(193,206)(})~mul*/-#mul(976,903)%#why()$}-&amp;mul(734,303)what()[from()*-/why()</v>
      </c>
      <c r="AH28" s="1" t="str">
        <v>957,923)'+select()why()</v>
      </c>
      <c r="AI28" s="1" t="str">
        <v>957,923</v>
      </c>
      <c r="AJ28" s="1" t="str">
        <v>957</v>
      </c>
      <c r="AK28" s="1" t="str">
        <v>923</v>
      </c>
      <c r="AL28" s="1">
        <v>883311</v>
      </c>
    </row>
    <row r="29" spans="4:38" x14ac:dyDescent="0.3">
      <c r="D29" s="2">
        <v>26</v>
      </c>
      <c r="E29" s="2">
        <f>SEARCH("mul",$C$4,E28+1)</f>
        <v>609</v>
      </c>
      <c r="F29" s="2" t="str">
        <f>MID($C$4,E29,$F$1)</f>
        <v>mul(79,135)~{mu</v>
      </c>
      <c r="G29" s="3">
        <f>SEARCH("(",F29)</f>
        <v>4</v>
      </c>
      <c r="H29" s="3">
        <f>SEARCH(",",F29)</f>
        <v>7</v>
      </c>
      <c r="I29" s="3">
        <f>SEARCH(")",F29)</f>
        <v>11</v>
      </c>
      <c r="J29" s="2" t="str">
        <f>IF(OR(ISERROR(G29),ISERROR(H29),ISERROR(I29)),"CORRUPT!","")</f>
        <v/>
      </c>
      <c r="K29" s="2" t="str">
        <f>IF(J29&lt;&gt;"","",MID(F29, G29+1, H29-G29-1))</f>
        <v>79</v>
      </c>
      <c r="L29" s="2">
        <f>IF(J29&lt;&gt;"","",LEN(K29))</f>
        <v>2</v>
      </c>
      <c r="M29" s="2" t="str">
        <f>IF(J29&lt;&gt;"","",MID(F29, H29+1, I29-H29-1))</f>
        <v>135</v>
      </c>
      <c r="N29" s="2">
        <f>IF(J29&lt;&gt;"","",LEN(M29))</f>
        <v>3</v>
      </c>
      <c r="O29" s="2">
        <f>IF(J29&lt;&gt;"","",K29*M29)</f>
        <v>10665</v>
      </c>
      <c r="R29" s="1" t="str">
        <v>496,383),&amp;why()(-;)+!#</v>
      </c>
      <c r="S29" s="1" t="str">
        <v>496,383</v>
      </c>
      <c r="T29" s="1" t="str">
        <v>496</v>
      </c>
      <c r="U29" s="1" t="str">
        <v>383</v>
      </c>
      <c r="V29" s="1">
        <v>189968</v>
      </c>
      <c r="Z29" s="1" t="str">
        <v>from()] )mul(663,118)$from()$;who()</v>
      </c>
      <c r="AA29" s="1" t="str">
        <v>#from()*?from()%mul(521,701/how()mul(357,734)who()from()+select()who()(*{%:mul(900,877)[{mul(276,197)!how()who()}$}?mul}$:why()who()who()mul(635,783)mul(276,497)[select()how()select()&gt;,where()}# mul(555,644);^who()!}mul(341:@#{mul(135,278)where()how()what();where()mul(439,633),]$how()why()mul(708,508)where()%{why(744,659)mul(700--(why()*%/where()#&lt;@</v>
      </c>
      <c r="AB29" s="1" t="e">
        <v>#N/A</v>
      </c>
      <c r="AC29" s="1" t="e">
        <v>#N/A</v>
      </c>
      <c r="AD29" s="1" t="e">
        <v>#N/A</v>
      </c>
      <c r="AE29" s="1" t="e">
        <v>#N/A</v>
      </c>
      <c r="AF29" s="1" t="e">
        <v>#N/A</v>
      </c>
      <c r="AG29" s="1" t="str">
        <v>from()] )mul(663,118)$from()$;who()</v>
      </c>
      <c r="AH29" s="1" t="str">
        <v>496,383),&amp;why()(-;)+!#</v>
      </c>
      <c r="AI29" s="1" t="str">
        <v>496,383</v>
      </c>
      <c r="AJ29" s="1" t="str">
        <v>496</v>
      </c>
      <c r="AK29" s="1" t="str">
        <v>383</v>
      </c>
      <c r="AL29" s="1">
        <v>189968</v>
      </c>
    </row>
    <row r="30" spans="4:38" x14ac:dyDescent="0.3">
      <c r="D30" s="2">
        <v>27</v>
      </c>
      <c r="E30" s="2">
        <f>SEARCH("mul",$C$4,E29+1)</f>
        <v>622</v>
      </c>
      <c r="F30" s="2" t="str">
        <f>MID($C$4,E30,$F$1)</f>
        <v>mul(500,619),#w</v>
      </c>
      <c r="G30" s="3">
        <f>SEARCH("(",F30)</f>
        <v>4</v>
      </c>
      <c r="H30" s="3">
        <f>SEARCH(",",F30)</f>
        <v>8</v>
      </c>
      <c r="I30" s="3">
        <f>SEARCH(")",F30)</f>
        <v>12</v>
      </c>
      <c r="J30" s="2" t="str">
        <f>IF(OR(ISERROR(G30),ISERROR(H30),ISERROR(I30)),"CORRUPT!","")</f>
        <v/>
      </c>
      <c r="K30" s="2" t="str">
        <f>IF(J30&lt;&gt;"","",MID(F30, G30+1, H30-G30-1))</f>
        <v>500</v>
      </c>
      <c r="L30" s="2">
        <f>IF(J30&lt;&gt;"","",LEN(K30))</f>
        <v>3</v>
      </c>
      <c r="M30" s="2" t="str">
        <f>IF(J30&lt;&gt;"","",MID(F30, H30+1, I30-H30-1))</f>
        <v>619</v>
      </c>
      <c r="N30" s="2">
        <f>IF(J30&lt;&gt;"","",LEN(M30))</f>
        <v>3</v>
      </c>
      <c r="O30" s="2">
        <f>IF(J30&lt;&gt;"","",K30*M30)</f>
        <v>309500</v>
      </c>
      <c r="R30" s="1" t="str">
        <v>79,135)~{</v>
      </c>
      <c r="S30" s="1" t="str">
        <v>79,135</v>
      </c>
      <c r="T30" s="1" t="str">
        <v>79</v>
      </c>
      <c r="U30" s="1" t="str">
        <v>135</v>
      </c>
      <c r="V30" s="1">
        <v>10665</v>
      </c>
      <c r="Z30" s="1" t="str">
        <v>$?mul(39what(),#})$ select()how()~mul(847,132){)what(134,971)what(336,162))&amp;/what()mul(470,625)#mul(275,789)where()&lt;]mul(15,846)when()from()mul(21,575)%from()^&lt;from()@-}from()*mul(437,525))+!~{select()</v>
      </c>
      <c r="AA30" s="1" t="e">
        <v>#N/A</v>
      </c>
      <c r="AB30" s="1" t="e">
        <v>#N/A</v>
      </c>
      <c r="AC30" s="1" t="e">
        <v>#N/A</v>
      </c>
      <c r="AD30" s="1" t="e">
        <v>#N/A</v>
      </c>
      <c r="AE30" s="1" t="e">
        <v>#N/A</v>
      </c>
      <c r="AF30" s="1" t="e">
        <v>#N/A</v>
      </c>
      <c r="AG30" s="1" t="str">
        <v>$?mul(39what(),#})$ select()how()~mul(847,132){)what(134,971)what(336,162))&amp;/what()mul(470,625)#mul(275,789)where()&lt;]mul(15,846)when()from()mul(21,575)%from()^&lt;from()@-}from()*mul(437,525))+!~{select()</v>
      </c>
      <c r="AH30" s="1" t="str">
        <v>79,135)~{</v>
      </c>
      <c r="AI30" s="1" t="str">
        <v>79,135</v>
      </c>
      <c r="AJ30" s="1" t="str">
        <v>79</v>
      </c>
      <c r="AK30" s="1" t="str">
        <v>135</v>
      </c>
      <c r="AL30" s="1">
        <v>10665</v>
      </c>
    </row>
    <row r="31" spans="4:38" x14ac:dyDescent="0.3">
      <c r="D31" s="2">
        <v>28</v>
      </c>
      <c r="E31" s="2">
        <f>SEARCH("mul",$C$4,E30+1)</f>
        <v>653</v>
      </c>
      <c r="F31" s="2" t="str">
        <f>MID($C$4,E31,$F$1)</f>
        <v>mul(580,98)&lt;&gt;#w</v>
      </c>
      <c r="G31" s="3">
        <f>SEARCH("(",F31)</f>
        <v>4</v>
      </c>
      <c r="H31" s="3">
        <f>SEARCH(",",F31)</f>
        <v>8</v>
      </c>
      <c r="I31" s="3">
        <f>SEARCH(")",F31)</f>
        <v>11</v>
      </c>
      <c r="J31" s="2" t="str">
        <f>IF(OR(ISERROR(G31),ISERROR(H31),ISERROR(I31)),"CORRUPT!","")</f>
        <v/>
      </c>
      <c r="K31" s="2" t="str">
        <f>IF(J31&lt;&gt;"","",MID(F31, G31+1, H31-G31-1))</f>
        <v>580</v>
      </c>
      <c r="L31" s="2">
        <f>IF(J31&lt;&gt;"","",LEN(K31))</f>
        <v>3</v>
      </c>
      <c r="M31" s="2" t="str">
        <f>IF(J31&lt;&gt;"","",MID(F31, H31+1, I31-H31-1))</f>
        <v>98</v>
      </c>
      <c r="N31" s="2">
        <f>IF(J31&lt;&gt;"","",LEN(M31))</f>
        <v>2</v>
      </c>
      <c r="O31" s="2">
        <f>IF(J31&lt;&gt;"","",K31*M31)</f>
        <v>56840</v>
      </c>
      <c r="R31" s="1" t="str">
        <v>500,619),#what(361,47)@&amp;;@+</v>
      </c>
      <c r="S31" s="1" t="str">
        <v>500,619</v>
      </c>
      <c r="T31" s="1" t="str">
        <v>500</v>
      </c>
      <c r="U31" s="1" t="str">
        <v>619</v>
      </c>
      <c r="V31" s="1">
        <v>309500</v>
      </c>
      <c r="Z31" s="1" t="str">
        <v>&gt;when()when() ~(+select()what()mul(554,360)from()]~mul(785,136)}%#:?mul(117,254)who()</v>
      </c>
      <c r="AA31" s="1" t="str">
        <v>% %;%-from(747,86)how()^/mul(313,607)why()mul(678,806),(mul(226,595)#%mul(415,823)']mul(873,709)#;select()'&lt;&gt; *mul(121,496)why()who()what()?where()mul(590,916)',/@what()how()?%mul(477,943)when()who()/';%mul(654,383)select()*why()'^select()]select()&amp;mul(433,312);//~++what()&amp;&lt;?</v>
      </c>
      <c r="AB31" s="1" t="str">
        <v>who()^&amp;from()#how();[[#mul(512,521)%&gt;![]mul(532,452) +*&lt;@;mul(470,836why()who()select()#when()select()where()from(812,299)&lt;/mul(987,617)when()&amp;%;mul(85,662) select()select()*?&gt;mul(469,324) select()why(){mul(891,321);'&amp;$%@{mul(792,73)$$[who()&gt;[[from():mul&gt;why()?how()mul(522,233)([%select()mul(195,940)&amp;mul(368,872)~}{who();!!&gt;^^mul(920,394)^,select():?!%[mul(477,578): what()~!/select())who()/mul(976,739)&gt;;who()who(43,925)&amp;when()&gt;&gt;;+mul(857,247) mul(442,620){;mul(393,289)-!*mul(848,511)?how()}@mul(290,212))(~+#~:mul(150]*/&gt;who()[&gt;?:&lt;mul(289,261)&gt;&lt;]*[;+what()where()mul(307,698);;from()~%;where(84,170)[${mul(158,165):[what()^select()mul(977,383)'*@&lt;! )mul(188,493)mul(566,212)&amp;,who()]</v>
      </c>
      <c r="AC31" s="1" t="str">
        <v>mul(644,488)how())+]~who()where()mul(113,502)mul(306,625),] ;/#&amp;$;who()mul(418,801)#&gt;&gt;/;:mul(920,657)*how()when()mul(816,293)select()~$+^+mul(420,667);(^where());&lt;from()[,</v>
      </c>
      <c r="AD31" s="1" t="str">
        <v>'where()/!where()&amp;?when()&gt;mul(402,31)]mul(272,313)^&gt;mul(161,164)@$&lt;mulfrom()$when()&lt;mul(718,501)+-who()mul(960,325);who()&amp;{?mul(615,493)select(){]when())#{from(465,35)mul(905,145){[,&amp;&gt;$mul(260,136)&amp;@}* &gt; -mul(380,442)^#*!</v>
      </c>
      <c r="AE31" s="1" t="e">
        <v>#N/A</v>
      </c>
      <c r="AF31" s="1" t="e">
        <v>#N/A</v>
      </c>
      <c r="AG31" s="1" t="str">
        <v>&gt;when()when() ~(+select()what()mul(554,360)from()]~mul(785,136)}%#:?mul(117,254)who()</v>
      </c>
      <c r="AH31" s="1" t="str">
        <v>500,619),#what(361,47)@&amp;;@+</v>
      </c>
      <c r="AI31" s="1" t="str">
        <v>500,619</v>
      </c>
      <c r="AJ31" s="1" t="str">
        <v>500</v>
      </c>
      <c r="AK31" s="1" t="str">
        <v>619</v>
      </c>
      <c r="AL31" s="1">
        <v>309500</v>
      </c>
    </row>
    <row r="32" spans="4:38" x14ac:dyDescent="0.3">
      <c r="D32" s="2">
        <v>29</v>
      </c>
      <c r="E32" s="2">
        <f>SEARCH("mul",$C$4,E31+1)</f>
        <v>682</v>
      </c>
      <c r="F32" s="2" t="str">
        <f>MID($C$4,E32,$F$1)</f>
        <v>mul(660,615):wh</v>
      </c>
      <c r="G32" s="3">
        <f>SEARCH("(",F32)</f>
        <v>4</v>
      </c>
      <c r="H32" s="3">
        <f>SEARCH(",",F32)</f>
        <v>8</v>
      </c>
      <c r="I32" s="3">
        <f>SEARCH(")",F32)</f>
        <v>12</v>
      </c>
      <c r="J32" s="2" t="str">
        <f>IF(OR(ISERROR(G32),ISERROR(H32),ISERROR(I32)),"CORRUPT!","")</f>
        <v/>
      </c>
      <c r="K32" s="2" t="str">
        <f>IF(J32&lt;&gt;"","",MID(F32, G32+1, H32-G32-1))</f>
        <v>660</v>
      </c>
      <c r="L32" s="2">
        <f>IF(J32&lt;&gt;"","",LEN(K32))</f>
        <v>3</v>
      </c>
      <c r="M32" s="2" t="str">
        <f>IF(J32&lt;&gt;"","",MID(F32, H32+1, I32-H32-1))</f>
        <v>615</v>
      </c>
      <c r="N32" s="2">
        <f>IF(J32&lt;&gt;"","",LEN(M32))</f>
        <v>3</v>
      </c>
      <c r="O32" s="2">
        <f>IF(J32&lt;&gt;"","",K32*M32)</f>
        <v>405900</v>
      </c>
      <c r="R32" s="1" t="str">
        <v>580,98)&lt;&gt;#why():$from()(!</v>
      </c>
      <c r="S32" s="1" t="str">
        <v>580,98</v>
      </c>
      <c r="T32" s="1" t="str">
        <v>580</v>
      </c>
      <c r="U32" s="1" t="str">
        <v>98</v>
      </c>
      <c r="V32" s="1">
        <v>56840</v>
      </c>
      <c r="Z32" s="1" t="str">
        <v>)?(;@mul(209/%(&gt;,how()^mul(423,410)from()-mul(381,141)+~-)mul(674,158)^:what()&gt;(^)who()mul*^,mul(74,315)!-),mul(341,503)where()/;*)why()),what()&amp;mul(624,435)mul(880,482)}where():&lt;select():^&gt;]why()mul(367,134)when()(when()mul(166,251)@+,who(),mul(610,271)+&gt;)(mul(455,461)&gt;&amp;@-()from()+]mul(232,944)&amp;,@when()@]mul(523,215)mul(876,836) mul(335,254)&lt;#-{from()^mul(153,522)what(52,828)who()where()from()from()@&amp;&gt;$mul,!&amp;&lt;</v>
      </c>
      <c r="AA32" s="1" t="e">
        <v>#N/A</v>
      </c>
      <c r="AB32" s="1" t="e">
        <v>#N/A</v>
      </c>
      <c r="AC32" s="1" t="e">
        <v>#N/A</v>
      </c>
      <c r="AD32" s="1" t="e">
        <v>#N/A</v>
      </c>
      <c r="AE32" s="1" t="e">
        <v>#N/A</v>
      </c>
      <c r="AF32" s="1" t="e">
        <v>#N/A</v>
      </c>
      <c r="AG32" s="1" t="str">
        <v>)?(;@mul(209/%(&gt;,how()^mul(423,410)from()-mul(381,141)+~-)mul(674,158)^:what()&gt;(^)who()mul*^,mul(74,315)!-),mul(341,503)where()/;*)why()),what()&amp;mul(624,435)mul(880,482)}where():&lt;select():^&gt;]why()mul(367,134)when()(when()mul(166,251)@+,who(),mul(610,271)+&gt;)(mul(455,461)&gt;&amp;@-()from()+]mul(232,944)&amp;,@when()@]mul(523,215)mul(876,836) mul(335,254)&lt;#-{from()^mul(153,522)what(52,828)who()where()from()from()@&amp;&gt;$mul,!&amp;&lt;</v>
      </c>
      <c r="AH32" s="1" t="str">
        <v>580,98)&lt;&gt;#why():$from()(!</v>
      </c>
      <c r="AI32" s="1" t="str">
        <v>580,98</v>
      </c>
      <c r="AJ32" s="1" t="str">
        <v>580</v>
      </c>
      <c r="AK32" s="1" t="str">
        <v>98</v>
      </c>
      <c r="AL32" s="1">
        <v>56840</v>
      </c>
    </row>
    <row r="33" spans="4:38" x14ac:dyDescent="0.3">
      <c r="D33" s="2">
        <v>30</v>
      </c>
      <c r="E33" s="2">
        <f>SEARCH("mul",$C$4,E32+1)</f>
        <v>702</v>
      </c>
      <c r="F33" s="2" t="str">
        <f>MID($C$4,E33,$F$1)</f>
        <v>mul(596,918)how</v>
      </c>
      <c r="G33" s="3">
        <f>SEARCH("(",F33)</f>
        <v>4</v>
      </c>
      <c r="H33" s="3">
        <f>SEARCH(",",F33)</f>
        <v>8</v>
      </c>
      <c r="I33" s="3">
        <f>SEARCH(")",F33)</f>
        <v>12</v>
      </c>
      <c r="J33" s="2" t="str">
        <f>IF(OR(ISERROR(G33),ISERROR(H33),ISERROR(I33)),"CORRUPT!","")</f>
        <v/>
      </c>
      <c r="K33" s="2" t="str">
        <f>IF(J33&lt;&gt;"","",MID(F33, G33+1, H33-G33-1))</f>
        <v>596</v>
      </c>
      <c r="L33" s="2">
        <f>IF(J33&lt;&gt;"","",LEN(K33))</f>
        <v>3</v>
      </c>
      <c r="M33" s="2" t="str">
        <f>IF(J33&lt;&gt;"","",MID(F33, H33+1, I33-H33-1))</f>
        <v>918</v>
      </c>
      <c r="N33" s="2">
        <f>IF(J33&lt;&gt;"","",LEN(M33))</f>
        <v>3</v>
      </c>
      <c r="O33" s="2">
        <f>IF(J33&lt;&gt;"","",K33*M33)</f>
        <v>547128</v>
      </c>
      <c r="R33" s="1" t="str">
        <v>660,615):where()</v>
      </c>
      <c r="S33" s="1" t="str">
        <v>660,615</v>
      </c>
      <c r="T33" s="1" t="str">
        <v>660</v>
      </c>
      <c r="U33" s="1" t="str">
        <v>615</v>
      </c>
      <c r="V33" s="1">
        <v>405900</v>
      </c>
      <c r="Z33" s="1" t="str">
        <v>why(768,688)what(),);'mul(851,963)]&amp;;(mul(45,859)[;select() ~%]when()!where()mul(807,272):#from()mul(943,224)?$mul(415,924)'from()?mul(204,131)}(&gt;what()^&gt;*{'mul(670,505)$mul&amp;&amp;/&lt;</v>
      </c>
      <c r="AA33" s="1" t="e">
        <v>#N/A</v>
      </c>
      <c r="AB33" s="1" t="e">
        <v>#N/A</v>
      </c>
      <c r="AC33" s="1" t="e">
        <v>#N/A</v>
      </c>
      <c r="AD33" s="1" t="e">
        <v>#N/A</v>
      </c>
      <c r="AE33" s="1" t="e">
        <v>#N/A</v>
      </c>
      <c r="AF33" s="1" t="e">
        <v>#N/A</v>
      </c>
      <c r="AG33" s="1" t="str">
        <v>why(768,688)what(),);'mul(851,963)]&amp;;(mul(45,859)[;select() ~%]when()!where()mul(807,272):#from()mul(943,224)?$mul(415,924)'from()?mul(204,131)}(&gt;what()^&gt;*{'mul(670,505)$mul&amp;&amp;/&lt;</v>
      </c>
      <c r="AH33" s="1" t="str">
        <v>660,615):where()</v>
      </c>
      <c r="AI33" s="1" t="str">
        <v>660,615</v>
      </c>
      <c r="AJ33" s="1" t="str">
        <v>660</v>
      </c>
      <c r="AK33" s="1" t="str">
        <v>615</v>
      </c>
      <c r="AL33" s="1">
        <v>405900</v>
      </c>
    </row>
    <row r="34" spans="4:38" x14ac:dyDescent="0.3">
      <c r="D34" s="2">
        <v>31</v>
      </c>
      <c r="E34" s="2">
        <f>SEARCH("mul",$C$4,E33+1)</f>
        <v>738</v>
      </c>
      <c r="F34" s="2" t="str">
        <f>MID($C$4,E34,$F$1)</f>
        <v>mul(594,699)$&gt;$</v>
      </c>
      <c r="G34" s="3">
        <f>SEARCH("(",F34)</f>
        <v>4</v>
      </c>
      <c r="H34" s="3">
        <f>SEARCH(",",F34)</f>
        <v>8</v>
      </c>
      <c r="I34" s="3">
        <f>SEARCH(")",F34)</f>
        <v>12</v>
      </c>
      <c r="J34" s="2" t="str">
        <f>IF(OR(ISERROR(G34),ISERROR(H34),ISERROR(I34)),"CORRUPT!","")</f>
        <v/>
      </c>
      <c r="K34" s="2" t="str">
        <f>IF(J34&lt;&gt;"","",MID(F34, G34+1, H34-G34-1))</f>
        <v>594</v>
      </c>
      <c r="L34" s="2">
        <f>IF(J34&lt;&gt;"","",LEN(K34))</f>
        <v>3</v>
      </c>
      <c r="M34" s="2" t="str">
        <f>IF(J34&lt;&gt;"","",MID(F34, H34+1, I34-H34-1))</f>
        <v>699</v>
      </c>
      <c r="N34" s="2">
        <f>IF(J34&lt;&gt;"","",LEN(M34))</f>
        <v>3</v>
      </c>
      <c r="O34" s="2">
        <f>IF(J34&lt;&gt;"","",K34*M34)</f>
        <v>415206</v>
      </c>
      <c r="R34" s="1" t="str">
        <v>596,918)how()[what()how()who()]@</v>
      </c>
      <c r="S34" s="1" t="str">
        <v>596,918</v>
      </c>
      <c r="T34" s="1" t="str">
        <v>596</v>
      </c>
      <c r="U34" s="1" t="str">
        <v>918</v>
      </c>
      <c r="V34" s="1">
        <v>547128</v>
      </c>
      <c r="Z34" s="1" t="str">
        <v>why()@#(*~/:&gt;(mul(672,267)mul(540,120)&lt;$[-&gt;!}mul(234,539)!%]who(){mul(30,143)*mul(545,761)where()'!how(935,4)who()%'{~mul(673,752why()what()^:mul(111,407)from()}mul(860,90)#who()/^!how()-!{!mul(217,327)what()!'where()mul(729,143)where()!how()#mul(362,874)$how()how()-&gt;who()~^mul(315,718)!'-@~mul(206,449):/[??#mul(185,796)]~mul(597,268);) &gt;select()from()?)&lt;*mul(516,734)when()what()select()#$select()-?,$mul(366,627)%*{mul(62,39)&lt;what()mul(511,35)mul(879,156)-@]from()#select()mul(247,306;!mul(183,347)&lt;mul(638,126)+&gt;^/$from()+mul(250+~select()!from(){mul(981,151)#}mul(92,876))how()who(363,963)mul(827,341)::how()~&amp;mul(407,705)#+&gt;mul(576,849)mul(482,236)(^* who(),what()mul(544%who()('&gt;*!$@,}mul(113,286)when()'from(685,677)</v>
      </c>
      <c r="AA34" s="1" t="str">
        <v>%from(614,566)-select()$,-mul(234,452)}&gt;[&amp;who(){#from()&amp;</v>
      </c>
      <c r="AB34" s="1" t="e">
        <v>#N/A</v>
      </c>
      <c r="AC34" s="1" t="e">
        <v>#N/A</v>
      </c>
      <c r="AD34" s="1" t="e">
        <v>#N/A</v>
      </c>
      <c r="AE34" s="1" t="e">
        <v>#N/A</v>
      </c>
      <c r="AF34" s="1" t="e">
        <v>#N/A</v>
      </c>
      <c r="AG34" s="1" t="str">
        <v>why()@#(*~/:&gt;(mul(672,267)mul(540,120)&lt;$[-&gt;!}mul(234,539)!%]who(){mul(30,143)*mul(545,761)where()'!how(935,4)who()%'{~mul(673,752why()what()^:mul(111,407)from()}mul(860,90)#who()/^!how()-!{!mul(217,327)what()!'where()mul(729,143)where()!how()#mul(362,874)$how()how()-&gt;who()~^mul(315,718)!'-@~mul(206,449):/[??#mul(185,796)]~mul(597,268);) &gt;select()from()?)&lt;*mul(516,734)when()what()select()#$select()-?,$mul(366,627)%*{mul(62,39)&lt;what()mul(511,35)mul(879,156)-@]from()#select()mul(247,306;!mul(183,347)&lt;mul(638,126)+&gt;^/$from()+mul(250+~select()!from(){mul(981,151)#}mul(92,876))how()who(363,963)mul(827,341)::how()~&amp;mul(407,705)#+&gt;mul(576,849)mul(482,236)(^* who(),what()mul(544%who()('&gt;*!$@,}mul(113,286)when()'from(685,677)</v>
      </c>
      <c r="AH34" s="1" t="str">
        <v>596,918)how()[what()how()who()]@</v>
      </c>
      <c r="AI34" s="1" t="str">
        <v>596,918</v>
      </c>
      <c r="AJ34" s="1" t="str">
        <v>596</v>
      </c>
      <c r="AK34" s="1" t="str">
        <v>918</v>
      </c>
      <c r="AL34" s="1">
        <v>547128</v>
      </c>
    </row>
    <row r="35" spans="4:38" x14ac:dyDescent="0.3">
      <c r="D35" s="2">
        <v>32</v>
      </c>
      <c r="E35" s="2">
        <f>SEARCH("mul",$C$4,E34+1)</f>
        <v>759</v>
      </c>
      <c r="F35" s="2" t="str">
        <f>MID($C$4,E35,$F$1)</f>
        <v>mul(951,813)mul</v>
      </c>
      <c r="G35" s="3">
        <f>SEARCH("(",F35)</f>
        <v>4</v>
      </c>
      <c r="H35" s="3">
        <f>SEARCH(",",F35)</f>
        <v>8</v>
      </c>
      <c r="I35" s="3">
        <f>SEARCH(")",F35)</f>
        <v>12</v>
      </c>
      <c r="J35" s="2" t="str">
        <f>IF(OR(ISERROR(G35),ISERROR(H35),ISERROR(I35)),"CORRUPT!","")</f>
        <v/>
      </c>
      <c r="K35" s="2" t="str">
        <f>IF(J35&lt;&gt;"","",MID(F35, G35+1, H35-G35-1))</f>
        <v>951</v>
      </c>
      <c r="L35" s="2">
        <f>IF(J35&lt;&gt;"","",LEN(K35))</f>
        <v>3</v>
      </c>
      <c r="M35" s="2" t="str">
        <f>IF(J35&lt;&gt;"","",MID(F35, H35+1, I35-H35-1))</f>
        <v>813</v>
      </c>
      <c r="N35" s="2">
        <f>IF(J35&lt;&gt;"","",LEN(M35))</f>
        <v>3</v>
      </c>
      <c r="O35" s="2">
        <f>IF(J35&lt;&gt;"","",K35*M35)</f>
        <v>773163</v>
      </c>
      <c r="R35" s="1" t="str">
        <v>594,699)$&gt;$&amp;why()</v>
      </c>
      <c r="S35" s="1" t="str">
        <v>594,699</v>
      </c>
      <c r="T35" s="1" t="str">
        <v>594</v>
      </c>
      <c r="U35" s="1" t="str">
        <v>699</v>
      </c>
      <c r="V35" s="1">
        <v>415206</v>
      </c>
      <c r="Z35" s="1" t="str">
        <v>why()select(645,338):why(840,833)+#mul(874,529)}&gt;what()select()why()mul(168,89)}{*when()}</v>
      </c>
      <c r="AA35" s="1" t="str">
        <v>when()*?$^;?)]mul(811,383)!mul(770,725):!*#[from()from()from(487,367);:mul(564,858)(mul(248,563)*:;'mul??mul(254,676)+where()from()?'[){ how()mul(250,339))'!')where()&lt;?mul(410,838)(where()@mul(102,412)where()mul(173,786)-![mul(92,40)mul(888,277)'from()</v>
      </c>
      <c r="AB35" s="1" t="str">
        <v>mul(390,731)@what()who()@%@who()&amp;&amp;?mul(930,981)&gt;}from()why()-*!mul(740,619)~$when(370,81)where()%-#;^mul(291;^&lt;-mul(266,422)@%select()/why() [mul(794,513)where()&gt;{+mul(944,970)!why();mul(968,484)&lt;from(),:&gt;/what()who()mul(285,45)when()who()^when(),mul(728,164),#/[)mul(568,114)%@:select() /*!mul(763,536)?@mul(506,503))</v>
      </c>
      <c r="AC35" s="1" t="str">
        <v>@)^/mul(763,386)/why()how()from(417,323)&gt;what() where()mul(260,628)?:'+$why()+@&amp;mul(697,677)+]when():mul(246,278) $mul(48,81)mul(266,777)who())@*~!?)# mul(843,750}&lt;what()+&gt;mul(940,128)mul(477,389)who()}:when())&lt;[when()mul(838,845)&lt;when():;*mul(248,817)</v>
      </c>
      <c r="AD35" s="1" t="e">
        <v>#N/A</v>
      </c>
      <c r="AE35" s="1" t="e">
        <v>#N/A</v>
      </c>
      <c r="AF35" s="1" t="e">
        <v>#N/A</v>
      </c>
      <c r="AG35" s="1" t="str">
        <v>why()select(645,338):why(840,833)+#mul(874,529)}&gt;what()select()why()mul(168,89)}{*when()}</v>
      </c>
      <c r="AH35" s="1" t="str">
        <v>594,699)$&gt;$&amp;why()</v>
      </c>
      <c r="AI35" s="1" t="str">
        <v>594,699</v>
      </c>
      <c r="AJ35" s="1" t="str">
        <v>594</v>
      </c>
      <c r="AK35" s="1" t="str">
        <v>699</v>
      </c>
      <c r="AL35" s="1">
        <v>415206</v>
      </c>
    </row>
    <row r="36" spans="4:38" x14ac:dyDescent="0.3">
      <c r="D36" s="2">
        <v>33</v>
      </c>
      <c r="E36" s="2">
        <f>SEARCH("mul",$C$4,E35+1)</f>
        <v>771</v>
      </c>
      <c r="F36" s="2" t="str">
        <f>MID($C$4,E36,$F$1)</f>
        <v>mul(948,41)]mul</v>
      </c>
      <c r="G36" s="3">
        <f>SEARCH("(",F36)</f>
        <v>4</v>
      </c>
      <c r="H36" s="3">
        <f>SEARCH(",",F36)</f>
        <v>8</v>
      </c>
      <c r="I36" s="3">
        <f>SEARCH(")",F36)</f>
        <v>11</v>
      </c>
      <c r="J36" s="2" t="str">
        <f>IF(OR(ISERROR(G36),ISERROR(H36),ISERROR(I36)),"CORRUPT!","")</f>
        <v/>
      </c>
      <c r="K36" s="2" t="str">
        <f>IF(J36&lt;&gt;"","",MID(F36, G36+1, H36-G36-1))</f>
        <v>948</v>
      </c>
      <c r="L36" s="2">
        <f>IF(J36&lt;&gt;"","",LEN(K36))</f>
        <v>3</v>
      </c>
      <c r="M36" s="2" t="str">
        <f>IF(J36&lt;&gt;"","",MID(F36, H36+1, I36-H36-1))</f>
        <v>41</v>
      </c>
      <c r="N36" s="2">
        <f>IF(J36&lt;&gt;"","",LEN(M36))</f>
        <v>2</v>
      </c>
      <c r="O36" s="2">
        <f>IF(J36&lt;&gt;"","",K36*M36)</f>
        <v>38868</v>
      </c>
      <c r="R36" s="1" t="str">
        <v>951,813)</v>
      </c>
      <c r="S36" s="1" t="str">
        <v>951,813</v>
      </c>
      <c r="T36" s="1" t="str">
        <v>951</v>
      </c>
      <c r="U36" s="1" t="str">
        <v>813</v>
      </c>
      <c r="V36" s="1">
        <v>773163</v>
      </c>
      <c r="Z36" s="1" t="str">
        <v>+what();&amp;/)?&gt;~mul(464,153)why(166,536)&lt;/mul(893,554)when()what(){how()&amp;how()mul(505,410)&gt;{/&amp;,~mul(282,701) -!?from();mul(101,631)from()&lt;when()*&amp;mul(187,146)[@+&lt;?{[#{&lt;mul(424,344);!?why()%}what()*&gt;/mul(236,985)why(458,58)</v>
      </c>
      <c r="AA36" s="1" t="str">
        <v>&amp;*&amp;&gt;how()mul(310,399) :{}^]</v>
      </c>
      <c r="AB36" s="1" t="e">
        <v>#N/A</v>
      </c>
      <c r="AC36" s="1" t="e">
        <v>#N/A</v>
      </c>
      <c r="AD36" s="1" t="e">
        <v>#N/A</v>
      </c>
      <c r="AE36" s="1" t="e">
        <v>#N/A</v>
      </c>
      <c r="AF36" s="1" t="e">
        <v>#N/A</v>
      </c>
      <c r="AG36" s="1" t="str">
        <v>+what();&amp;/)?&gt;~mul(464,153)why(166,536)&lt;/mul(893,554)when()what(){how()&amp;how()mul(505,410)&gt;{/&amp;,~mul(282,701) -!?from();mul(101,631)from()&lt;when()*&amp;mul(187,146)[@+&lt;?{[#{&lt;mul(424,344);!?why()%}what()*&gt;/mul(236,985)why(458,58)</v>
      </c>
      <c r="AH36" s="1" t="str">
        <v>951,813)</v>
      </c>
      <c r="AI36" s="1" t="str">
        <v>951,813</v>
      </c>
      <c r="AJ36" s="1" t="str">
        <v>951</v>
      </c>
      <c r="AK36" s="1" t="str">
        <v>813</v>
      </c>
      <c r="AL36" s="1">
        <v>773163</v>
      </c>
    </row>
    <row r="37" spans="4:38" x14ac:dyDescent="0.3">
      <c r="D37" s="2">
        <v>34</v>
      </c>
      <c r="E37" s="2">
        <f>SEARCH("mul",$C$4,E36+1)</f>
        <v>783</v>
      </c>
      <c r="F37" s="2" t="str">
        <f>MID($C$4,E37,$F$1)</f>
        <v>mul(699,225)&gt;mu</v>
      </c>
      <c r="G37" s="3">
        <f>SEARCH("(",F37)</f>
        <v>4</v>
      </c>
      <c r="H37" s="3">
        <f>SEARCH(",",F37)</f>
        <v>8</v>
      </c>
      <c r="I37" s="3">
        <f>SEARCH(")",F37)</f>
        <v>12</v>
      </c>
      <c r="J37" s="2" t="str">
        <f>IF(OR(ISERROR(G37),ISERROR(H37),ISERROR(I37)),"CORRUPT!","")</f>
        <v/>
      </c>
      <c r="K37" s="2" t="str">
        <f>IF(J37&lt;&gt;"","",MID(F37, G37+1, H37-G37-1))</f>
        <v>699</v>
      </c>
      <c r="L37" s="2">
        <f>IF(J37&lt;&gt;"","",LEN(K37))</f>
        <v>3</v>
      </c>
      <c r="M37" s="2" t="str">
        <f>IF(J37&lt;&gt;"","",MID(F37, H37+1, I37-H37-1))</f>
        <v>225</v>
      </c>
      <c r="N37" s="2">
        <f>IF(J37&lt;&gt;"","",LEN(M37))</f>
        <v>3</v>
      </c>
      <c r="O37" s="2">
        <f>IF(J37&lt;&gt;"","",K37*M37)</f>
        <v>157275</v>
      </c>
      <c r="R37" s="1" t="str">
        <v>948,41)]</v>
      </c>
      <c r="S37" s="1" t="str">
        <v>948,41</v>
      </c>
      <c r="T37" s="1" t="str">
        <v>948</v>
      </c>
      <c r="U37" s="1" t="str">
        <v>41</v>
      </c>
      <c r="V37" s="1">
        <v>38868</v>
      </c>
      <c r="Z37" s="1" t="str">
        <v>-&gt;when()from()+ mul(389,902)why(301,687) select()}&gt; who()mul(265,840)/mul(652,469)~where()what(){&lt;&gt;~mul(792,402);&gt; $+@select(747,467)[mul(720,836)%what(984,399)[select()-+{}}mul(757,143)-)%from(),)+where()mul(810,426)&lt;!*mul(596,769)$ from():]how()mul(67,919)why(485,244)]why(506,511)how()&amp;,[{% mul(794,823)!/]-*&lt;'where()mul(872~%how()$&lt;}]}why()~how()mul(413,924)?+[&gt;#who()^@mul,]-'(^^&gt;mul(30,409),)from() mul(916,685what()how(){#/mul(494,862)&lt;who()&gt;-&amp;mul(814,480)!&amp;what()*mul(315,311)!when() @}*%#mul(571,122)~*mul(717,593))/mul(633,314)&lt;^{[%{when()-&lt;?mul(26,322)mul(792;(?:^mul(592,551)&amp;from();%]who()&lt;,$mul(276,734):mul(478,513)]when(637,697){mul&amp; @+'[+mul(848,726)how(),from()-!&amp;,&lt;#</v>
      </c>
      <c r="AA37" s="1" t="str">
        <v xml:space="preserve"> !-mul(412,173)?''when()select()select();'when()mul(306,288)(!when()how(100,872)&gt;,{mul(571,721):?,@~]select(){mul(275,614),select()/&lt;mul(611,515)how(635,963)select()mul(741,23),select()why()^who(),%#}mul(144,95,why()why()~@^when(555,987)(mul(380,549)%:%&amp;how()&amp;mul(19,964)where(),*why()#%mul(194,612)}+^when()[mul(491,112))//what(){#-:mul(239,5){,?&gt;{[@mul(965,299)what()?$where()(#,(?mul(642,519),+~*]mul(830,103)/]:mul(61,609)from()where()from()([mul(808,331)$mul(885,259)))}mul(902,561)$*:mul(320,613)[where()}mul(374,288)~mul(720,106)*~$mul(967,879),who()[what()}when()/#$-mul(81,187)mul(368,22);];&lt;}- @{mul(882,60)#select()when()mul(144,567);what(),,#</v>
      </c>
      <c r="AB37" s="1" t="e">
        <v>#N/A</v>
      </c>
      <c r="AC37" s="1" t="e">
        <v>#N/A</v>
      </c>
      <c r="AD37" s="1" t="e">
        <v>#N/A</v>
      </c>
      <c r="AE37" s="1" t="e">
        <v>#N/A</v>
      </c>
      <c r="AF37" s="1" t="e">
        <v>#N/A</v>
      </c>
      <c r="AG37" s="1" t="str">
        <v>-&gt;when()from()+ mul(389,902)why(301,687) select()}&gt; who()mul(265,840)/mul(652,469)~where()what(){&lt;&gt;~mul(792,402);&gt; $+@select(747,467)[mul(720,836)%what(984,399)[select()-+{}}mul(757,143)-)%from(),)+where()mul(810,426)&lt;!*mul(596,769)$ from():]how()mul(67,919)why(485,244)]why(506,511)how()&amp;,[{% mul(794,823)!/]-*&lt;'where()mul(872~%how()$&lt;}]}why()~how()mul(413,924)?+[&gt;#who()^@mul,]-'(^^&gt;mul(30,409),)from() mul(916,685what()how(){#/mul(494,862)&lt;who()&gt;-&amp;mul(814,480)!&amp;what()*mul(315,311)!when() @}*%#mul(571,122)~*mul(717,593))/mul(633,314)&lt;^{[%{when()-&lt;?mul(26,322)mul(792;(?:^mul(592,551)&amp;from();%]who()&lt;,$mul(276,734):mul(478,513)]when(637,697){mul&amp; @+'[+mul(848,726)how(),from()-!&amp;,&lt;#</v>
      </c>
      <c r="AH37" s="1" t="str">
        <v>948,41)]</v>
      </c>
      <c r="AI37" s="1" t="str">
        <v>948,41</v>
      </c>
      <c r="AJ37" s="1" t="str">
        <v>948</v>
      </c>
      <c r="AK37" s="1" t="str">
        <v>41</v>
      </c>
      <c r="AL37" s="1">
        <v>38868</v>
      </c>
    </row>
    <row r="38" spans="4:38" x14ac:dyDescent="0.3">
      <c r="D38" s="2">
        <v>35</v>
      </c>
      <c r="E38" s="2">
        <f>SEARCH("mul",$C$4,E37+1)</f>
        <v>796</v>
      </c>
      <c r="F38" s="2" t="str">
        <f>MID($C$4,E38,$F$1)</f>
        <v>mul(840,275):@~</v>
      </c>
      <c r="G38" s="3">
        <f>SEARCH("(",F38)</f>
        <v>4</v>
      </c>
      <c r="H38" s="3">
        <f>SEARCH(",",F38)</f>
        <v>8</v>
      </c>
      <c r="I38" s="3">
        <f>SEARCH(")",F38)</f>
        <v>12</v>
      </c>
      <c r="J38" s="2" t="str">
        <f>IF(OR(ISERROR(G38),ISERROR(H38),ISERROR(I38)),"CORRUPT!","")</f>
        <v/>
      </c>
      <c r="K38" s="2" t="str">
        <f>IF(J38&lt;&gt;"","",MID(F38, G38+1, H38-G38-1))</f>
        <v>840</v>
      </c>
      <c r="L38" s="2">
        <f>IF(J38&lt;&gt;"","",LEN(K38))</f>
        <v>3</v>
      </c>
      <c r="M38" s="2" t="str">
        <f>IF(J38&lt;&gt;"","",MID(F38, H38+1, I38-H38-1))</f>
        <v>275</v>
      </c>
      <c r="N38" s="2">
        <f>IF(J38&lt;&gt;"","",LEN(M38))</f>
        <v>3</v>
      </c>
      <c r="O38" s="2">
        <f>IF(J38&lt;&gt;"","",K38*M38)</f>
        <v>231000</v>
      </c>
      <c r="R38" s="1" t="str">
        <v>699,225)&gt;</v>
      </c>
      <c r="S38" s="1" t="str">
        <v>699,225</v>
      </c>
      <c r="T38" s="1" t="str">
        <v>699</v>
      </c>
      <c r="U38" s="1" t="str">
        <v>225</v>
      </c>
      <c r="V38" s="1">
        <v>157275</v>
      </c>
      <c r="Z38" s="1" t="str">
        <v>{+from()'! mul(608,319)(mul(225,187)%%(&lt;,@#+%select()mul(130,278)!select()}&lt;when()where()mul(348,92):from()[mul(483,262)</v>
      </c>
      <c r="AA38" s="1" t="e">
        <v>#N/A</v>
      </c>
      <c r="AB38" s="1" t="e">
        <v>#N/A</v>
      </c>
      <c r="AC38" s="1" t="e">
        <v>#N/A</v>
      </c>
      <c r="AD38" s="1" t="e">
        <v>#N/A</v>
      </c>
      <c r="AE38" s="1" t="e">
        <v>#N/A</v>
      </c>
      <c r="AF38" s="1" t="e">
        <v>#N/A</v>
      </c>
      <c r="AG38" s="1" t="str">
        <v>{+from()'! mul(608,319)(mul(225,187)%%(&lt;,@#+%select()mul(130,278)!select()}&lt;when()where()mul(348,92):from()[mul(483,262)</v>
      </c>
      <c r="AH38" s="1" t="str">
        <v>699,225)&gt;</v>
      </c>
      <c r="AI38" s="1" t="str">
        <v>699,225</v>
      </c>
      <c r="AJ38" s="1" t="str">
        <v>699</v>
      </c>
      <c r="AK38" s="1" t="str">
        <v>225</v>
      </c>
      <c r="AL38" s="1">
        <v>157275</v>
      </c>
    </row>
    <row r="39" spans="4:38" x14ac:dyDescent="0.3">
      <c r="D39" s="2">
        <v>36</v>
      </c>
      <c r="E39" s="2">
        <f>SEARCH("mul",$C$4,E38+1)</f>
        <v>823</v>
      </c>
      <c r="F39" s="2" t="str">
        <f>MID($C$4,E39,$F$1)</f>
        <v>mul(695,594)wha</v>
      </c>
      <c r="G39" s="3">
        <f>SEARCH("(",F39)</f>
        <v>4</v>
      </c>
      <c r="H39" s="3">
        <f>SEARCH(",",F39)</f>
        <v>8</v>
      </c>
      <c r="I39" s="3">
        <f>SEARCH(")",F39)</f>
        <v>12</v>
      </c>
      <c r="J39" s="2" t="str">
        <f>IF(OR(ISERROR(G39),ISERROR(H39),ISERROR(I39)),"CORRUPT!","")</f>
        <v/>
      </c>
      <c r="K39" s="2" t="str">
        <f>IF(J39&lt;&gt;"","",MID(F39, G39+1, H39-G39-1))</f>
        <v>695</v>
      </c>
      <c r="L39" s="2">
        <f>IF(J39&lt;&gt;"","",LEN(K39))</f>
        <v>3</v>
      </c>
      <c r="M39" s="2" t="str">
        <f>IF(J39&lt;&gt;"","",MID(F39, H39+1, I39-H39-1))</f>
        <v>594</v>
      </c>
      <c r="N39" s="2">
        <f>IF(J39&lt;&gt;"","",LEN(M39))</f>
        <v>3</v>
      </c>
      <c r="O39" s="2">
        <f>IF(J39&lt;&gt;"","",K39*M39)</f>
        <v>412830</v>
      </c>
      <c r="R39" s="1" t="str">
        <v>840,275):@~^@%^select()</v>
      </c>
      <c r="S39" s="1" t="str">
        <v>840,275</v>
      </c>
      <c r="T39" s="1" t="str">
        <v>840</v>
      </c>
      <c r="U39" s="1" t="str">
        <v>275</v>
      </c>
      <c r="V39" s="1">
        <v>231000</v>
      </c>
      <c r="Z39" s="1" t="str">
        <v>*+&amp;&amp;}$mul(500,537)%(what()what()select()+^;</v>
      </c>
      <c r="AA39" s="1" t="str">
        <v>where()]][/%select()*mul(118,729)+;[!why()$@mul(155,535)}from() ^*#select()how()'mul(685,187))*</v>
      </c>
      <c r="AB39" s="1" t="e">
        <v>#N/A</v>
      </c>
      <c r="AC39" s="1" t="e">
        <v>#N/A</v>
      </c>
      <c r="AD39" s="1" t="e">
        <v>#N/A</v>
      </c>
      <c r="AE39" s="1" t="e">
        <v>#N/A</v>
      </c>
      <c r="AF39" s="1" t="e">
        <v>#N/A</v>
      </c>
      <c r="AG39" s="1" t="str">
        <v>*+&amp;&amp;}$mul(500,537)%(what()what()select()+^;</v>
      </c>
      <c r="AH39" s="1" t="str">
        <v>840,275):@~^@%^select()</v>
      </c>
      <c r="AI39" s="1" t="str">
        <v>840,275</v>
      </c>
      <c r="AJ39" s="1" t="str">
        <v>840</v>
      </c>
      <c r="AK39" s="1" t="str">
        <v>275</v>
      </c>
      <c r="AL39" s="1">
        <v>231000</v>
      </c>
    </row>
    <row r="40" spans="4:38" x14ac:dyDescent="0.3">
      <c r="D40" s="2">
        <v>37</v>
      </c>
      <c r="E40" s="2">
        <f>SEARCH("mul",$C$4,E39+1)</f>
        <v>844</v>
      </c>
      <c r="F40" s="2" t="str">
        <f>MID($C$4,E40,$F$1)</f>
        <v>mul(409,636)@ {</v>
      </c>
      <c r="G40" s="3">
        <f>SEARCH("(",F40)</f>
        <v>4</v>
      </c>
      <c r="H40" s="3">
        <f>SEARCH(",",F40)</f>
        <v>8</v>
      </c>
      <c r="I40" s="3">
        <f>SEARCH(")",F40)</f>
        <v>12</v>
      </c>
      <c r="J40" s="2" t="str">
        <f>IF(OR(ISERROR(G40),ISERROR(H40),ISERROR(I40)),"CORRUPT!","")</f>
        <v/>
      </c>
      <c r="K40" s="2" t="str">
        <f>IF(J40&lt;&gt;"","",MID(F40, G40+1, H40-G40-1))</f>
        <v>409</v>
      </c>
      <c r="L40" s="2">
        <f>IF(J40&lt;&gt;"","",LEN(K40))</f>
        <v>3</v>
      </c>
      <c r="M40" s="2" t="str">
        <f>IF(J40&lt;&gt;"","",MID(F40, H40+1, I40-H40-1))</f>
        <v>636</v>
      </c>
      <c r="N40" s="2">
        <f>IF(J40&lt;&gt;"","",LEN(M40))</f>
        <v>3</v>
      </c>
      <c r="O40" s="2">
        <f>IF(J40&lt;&gt;"","",K40*M40)</f>
        <v>260124</v>
      </c>
      <c r="R40" s="1" t="str">
        <v>695,594)what()-&gt;-</v>
      </c>
      <c r="S40" s="1" t="str">
        <v>695,594</v>
      </c>
      <c r="T40" s="1" t="str">
        <v>695</v>
      </c>
      <c r="U40" s="1" t="str">
        <v>594</v>
      </c>
      <c r="V40" s="1">
        <v>412830</v>
      </c>
      <c r="Z40" s="1" t="str">
        <v>what()(&amp;/{mul(174,160)&amp;+~:mul(100,237)&lt;mul(234,939)mul(328,456)mul(427,653))where()why(162,868){,mul(58,176)'}why()from()&amp;'why()?mul(449,899)-when()how()what()</v>
      </c>
      <c r="AA40" s="1" t="str">
        <v>#,{,mul(529,302)?&lt;]'*how()who()*~mul(382,944)mul(348,909),]/mul(595,427)-:mul(896,889);-)&lt;mul(212,114)[}what()#how()mul(796,319)from()who()mul(161,245),mul(211,760)]*&lt;+]where()mul(239,248)%mul(634,18)mul(501,317)why()#[who(542,47)what()*who()~,$</v>
      </c>
      <c r="AB40" s="1" t="str">
        <v>}} where()*~[when(696,90)~when()mul(736,662)*%-$select()-$who()/mul(297,910) when()(when()&gt;'@mul(353,117)]%'-^/?^mul(799,639)who()}-[&gt;mul(495,249)where()*,&lt;mul(79,846)how();mul(317,217)/mul(699,367)when()}mul(390,121),![,+]//,</v>
      </c>
      <c r="AC40" s="1" t="e">
        <v>#N/A</v>
      </c>
      <c r="AD40" s="1" t="e">
        <v>#N/A</v>
      </c>
      <c r="AE40" s="1" t="e">
        <v>#N/A</v>
      </c>
      <c r="AF40" s="1" t="e">
        <v>#N/A</v>
      </c>
      <c r="AG40" s="1" t="str">
        <v>what()(&amp;/{mul(174,160)&amp;+~:mul(100,237)&lt;mul(234,939)mul(328,456)mul(427,653))where()why(162,868){,mul(58,176)'}why()from()&amp;'why()?mul(449,899)-when()how()what()</v>
      </c>
      <c r="AH40" s="1" t="str">
        <v>695,594)what()-&gt;-</v>
      </c>
      <c r="AI40" s="1" t="str">
        <v>695,594</v>
      </c>
      <c r="AJ40" s="1" t="str">
        <v>695</v>
      </c>
      <c r="AK40" s="1" t="str">
        <v>594</v>
      </c>
      <c r="AL40" s="1">
        <v>412830</v>
      </c>
    </row>
    <row r="41" spans="4:38" x14ac:dyDescent="0.3">
      <c r="D41" s="2">
        <v>38</v>
      </c>
      <c r="E41" s="2">
        <f>SEARCH("mul",$C$4,E40+1)</f>
        <v>861</v>
      </c>
      <c r="F41" s="2" t="str">
        <f>MID($C$4,E41,$F$1)</f>
        <v>mul(999,290)whe</v>
      </c>
      <c r="G41" s="3">
        <f>SEARCH("(",F41)</f>
        <v>4</v>
      </c>
      <c r="H41" s="3">
        <f>SEARCH(",",F41)</f>
        <v>8</v>
      </c>
      <c r="I41" s="3">
        <f>SEARCH(")",F41)</f>
        <v>12</v>
      </c>
      <c r="J41" s="2" t="str">
        <f>IF(OR(ISERROR(G41),ISERROR(H41),ISERROR(I41)),"CORRUPT!","")</f>
        <v/>
      </c>
      <c r="K41" s="2" t="str">
        <f>IF(J41&lt;&gt;"","",MID(F41, G41+1, H41-G41-1))</f>
        <v>999</v>
      </c>
      <c r="L41" s="2">
        <f>IF(J41&lt;&gt;"","",LEN(K41))</f>
        <v>3</v>
      </c>
      <c r="M41" s="2" t="str">
        <f>IF(J41&lt;&gt;"","",MID(F41, H41+1, I41-H41-1))</f>
        <v>290</v>
      </c>
      <c r="N41" s="2">
        <f>IF(J41&lt;&gt;"","",LEN(M41))</f>
        <v>3</v>
      </c>
      <c r="O41" s="2">
        <f>IF(J41&lt;&gt;"","",K41*M41)</f>
        <v>289710</v>
      </c>
      <c r="R41" s="1" t="str">
        <v>409,636)@ {++</v>
      </c>
      <c r="S41" s="1" t="str">
        <v>409,636</v>
      </c>
      <c r="T41" s="1" t="str">
        <v>409</v>
      </c>
      <c r="U41" s="1" t="str">
        <v>636</v>
      </c>
      <c r="V41" s="1">
        <v>260124</v>
      </c>
      <c r="Z41" s="1" t="str">
        <v>@{what()(&gt;)~mul(768,867)why()mul(305,695)</v>
      </c>
      <c r="AA41" s="1" t="e">
        <v>#N/A</v>
      </c>
      <c r="AB41" s="1" t="e">
        <v>#N/A</v>
      </c>
      <c r="AC41" s="1" t="e">
        <v>#N/A</v>
      </c>
      <c r="AD41" s="1" t="e">
        <v>#N/A</v>
      </c>
      <c r="AE41" s="1" t="e">
        <v>#N/A</v>
      </c>
      <c r="AF41" s="1" t="e">
        <v>#N/A</v>
      </c>
      <c r="AG41" s="1" t="str">
        <v>@{what()(&gt;)~mul(768,867)why()mul(305,695)</v>
      </c>
      <c r="AH41" s="1" t="str">
        <v>409,636)@ {++</v>
      </c>
      <c r="AI41" s="1" t="str">
        <v>409,636</v>
      </c>
      <c r="AJ41" s="1" t="str">
        <v>409</v>
      </c>
      <c r="AK41" s="1" t="str">
        <v>636</v>
      </c>
      <c r="AL41" s="1">
        <v>260124</v>
      </c>
    </row>
    <row r="42" spans="4:38" x14ac:dyDescent="0.3">
      <c r="D42" s="2">
        <v>39</v>
      </c>
      <c r="E42" s="2">
        <f>SEARCH("mul",$C$4,E41+1)</f>
        <v>892</v>
      </c>
      <c r="F42" s="2" t="str">
        <f>MID($C$4,E42,$F$1)</f>
        <v>mul(558,848)how</v>
      </c>
      <c r="G42" s="3">
        <f>SEARCH("(",F42)</f>
        <v>4</v>
      </c>
      <c r="H42" s="3">
        <f>SEARCH(",",F42)</f>
        <v>8</v>
      </c>
      <c r="I42" s="3">
        <f>SEARCH(")",F42)</f>
        <v>12</v>
      </c>
      <c r="J42" s="2" t="str">
        <f>IF(OR(ISERROR(G42),ISERROR(H42),ISERROR(I42)),"CORRUPT!","")</f>
        <v/>
      </c>
      <c r="K42" s="2" t="str">
        <f>IF(J42&lt;&gt;"","",MID(F42, G42+1, H42-G42-1))</f>
        <v>558</v>
      </c>
      <c r="L42" s="2">
        <f>IF(J42&lt;&gt;"","",LEN(K42))</f>
        <v>3</v>
      </c>
      <c r="M42" s="2" t="str">
        <f>IF(J42&lt;&gt;"","",MID(F42, H42+1, I42-H42-1))</f>
        <v>848</v>
      </c>
      <c r="N42" s="2">
        <f>IF(J42&lt;&gt;"","",LEN(M42))</f>
        <v>3</v>
      </c>
      <c r="O42" s="2">
        <f>IF(J42&lt;&gt;"","",K42*M42)</f>
        <v>473184</v>
      </c>
      <c r="R42" s="1" t="str">
        <v>999,290)when(339,689),[+[+?</v>
      </c>
      <c r="S42" s="1" t="str">
        <v>999,290</v>
      </c>
      <c r="T42" s="1" t="str">
        <v>999</v>
      </c>
      <c r="U42" s="1" t="str">
        <v>290</v>
      </c>
      <c r="V42" s="1">
        <v>289710</v>
      </c>
      <c r="Z42" s="1" t="str">
        <v>?]where() ?#@(who()mul(748,367)why()+[mul(643,18)})mul(343,964){'mul(287,548)?%</v>
      </c>
      <c r="AA42" s="1" t="str">
        <v>,from();/?';select()mul(97,411)!!{?mul(105,759)how())how()@mul(663,882)~[mul(709,411)@;]what()when()mul(267,470)&amp;mul(857,988)}/]^-select()]^:where()</v>
      </c>
      <c r="AB42" s="1" t="str">
        <v>why()where()]-*mul(566,77)-&lt;why()how();:~&gt;#mul(217,308)what()~~(select()&amp;mul(462,131)&lt;+]%how()select()mul(242,763)'select()why()mul(316,185)[when()/ mul(584,440)from()</v>
      </c>
      <c r="AC42" s="1" t="e">
        <v>#N/A</v>
      </c>
      <c r="AD42" s="1" t="e">
        <v>#N/A</v>
      </c>
      <c r="AE42" s="1" t="e">
        <v>#N/A</v>
      </c>
      <c r="AF42" s="1" t="e">
        <v>#N/A</v>
      </c>
      <c r="AG42" s="1" t="str">
        <v>?]where() ?#@(who()mul(748,367)why()+[mul(643,18)})mul(343,964){'mul(287,548)?%</v>
      </c>
      <c r="AH42" s="1" t="str">
        <v>999,290)when(339,689),[+[+?</v>
      </c>
      <c r="AI42" s="1" t="str">
        <v>999,290</v>
      </c>
      <c r="AJ42" s="1" t="str">
        <v>999</v>
      </c>
      <c r="AK42" s="1" t="str">
        <v>290</v>
      </c>
      <c r="AL42" s="1">
        <v>289710</v>
      </c>
    </row>
    <row r="43" spans="4:38" x14ac:dyDescent="0.3">
      <c r="D43" s="2">
        <v>40</v>
      </c>
      <c r="E43" s="2">
        <f>SEARCH("mul",$C$4,E42+1)</f>
        <v>920</v>
      </c>
      <c r="F43" s="2" t="str">
        <f>MID($C$4,E43,$F$1)</f>
        <v>mul(344,337)$)$</v>
      </c>
      <c r="G43" s="3">
        <f>SEARCH("(",F43)</f>
        <v>4</v>
      </c>
      <c r="H43" s="3">
        <f>SEARCH(",",F43)</f>
        <v>8</v>
      </c>
      <c r="I43" s="3">
        <f>SEARCH(")",F43)</f>
        <v>12</v>
      </c>
      <c r="J43" s="2" t="str">
        <f>IF(OR(ISERROR(G43),ISERROR(H43),ISERROR(I43)),"CORRUPT!","")</f>
        <v/>
      </c>
      <c r="K43" s="2" t="str">
        <f>IF(J43&lt;&gt;"","",MID(F43, G43+1, H43-G43-1))</f>
        <v>344</v>
      </c>
      <c r="L43" s="2">
        <f>IF(J43&lt;&gt;"","",LEN(K43))</f>
        <v>3</v>
      </c>
      <c r="M43" s="2" t="str">
        <f>IF(J43&lt;&gt;"","",MID(F43, H43+1, I43-H43-1))</f>
        <v>337</v>
      </c>
      <c r="N43" s="2">
        <f>IF(J43&lt;&gt;"","",LEN(M43))</f>
        <v>3</v>
      </c>
      <c r="O43" s="2">
        <f>IF(J43&lt;&gt;"","",K43*M43)</f>
        <v>115928</v>
      </c>
      <c r="R43" s="1" t="str">
        <v>558,848)how(),what()&amp;}]{</v>
      </c>
      <c r="S43" s="1" t="str">
        <v>558,848</v>
      </c>
      <c r="T43" s="1" t="str">
        <v>558</v>
      </c>
      <c r="U43" s="1" t="str">
        <v>848</v>
      </c>
      <c r="V43" s="1">
        <v>473184</v>
      </c>
      <c r="AH43" s="1" t="str">
        <v>558,848)how(),what()&amp;}]{</v>
      </c>
      <c r="AI43" s="1" t="str">
        <v>558,848</v>
      </c>
      <c r="AJ43" s="1" t="str">
        <v>558</v>
      </c>
      <c r="AK43" s="1" t="str">
        <v>848</v>
      </c>
      <c r="AL43" s="1">
        <v>473184</v>
      </c>
    </row>
    <row r="44" spans="4:38" x14ac:dyDescent="0.3">
      <c r="D44" s="2">
        <v>41</v>
      </c>
      <c r="E44" s="2">
        <f>SEARCH("mul",$C$4,E43+1)</f>
        <v>962</v>
      </c>
      <c r="F44" s="2" t="str">
        <f>MID($C$4,E44,$F$1)</f>
        <v>mul(796,16)mul(</v>
      </c>
      <c r="G44" s="3">
        <f>SEARCH("(",F44)</f>
        <v>4</v>
      </c>
      <c r="H44" s="3">
        <f>SEARCH(",",F44)</f>
        <v>8</v>
      </c>
      <c r="I44" s="3">
        <f>SEARCH(")",F44)</f>
        <v>11</v>
      </c>
      <c r="J44" s="2" t="str">
        <f>IF(OR(ISERROR(G44),ISERROR(H44),ISERROR(I44)),"CORRUPT!","")</f>
        <v/>
      </c>
      <c r="K44" s="2" t="str">
        <f>IF(J44&lt;&gt;"","",MID(F44, G44+1, H44-G44-1))</f>
        <v>796</v>
      </c>
      <c r="L44" s="2">
        <f>IF(J44&lt;&gt;"","",LEN(K44))</f>
        <v>3</v>
      </c>
      <c r="M44" s="2" t="str">
        <f>IF(J44&lt;&gt;"","",MID(F44, H44+1, I44-H44-1))</f>
        <v>16</v>
      </c>
      <c r="N44" s="2">
        <f>IF(J44&lt;&gt;"","",LEN(M44))</f>
        <v>2</v>
      </c>
      <c r="O44" s="2">
        <f>IF(J44&lt;&gt;"","",K44*M44)</f>
        <v>12736</v>
      </c>
      <c r="R44" s="1" t="str">
        <v>344,337)$)$]+,$,,why()do()::select()^:</v>
      </c>
      <c r="S44" s="1" t="str">
        <v>344,337</v>
      </c>
      <c r="T44" s="1" t="str">
        <v>344</v>
      </c>
      <c r="U44" s="1" t="str">
        <v>337</v>
      </c>
      <c r="V44" s="1">
        <v>115928</v>
      </c>
      <c r="AH44" s="1" t="str">
        <v>344,337)$)$]+,$,,why(),[what(),,?select()why()@</v>
      </c>
      <c r="AI44" s="1" t="str">
        <v>344,337</v>
      </c>
      <c r="AJ44" s="1" t="str">
        <v>344</v>
      </c>
      <c r="AK44" s="1" t="str">
        <v>337</v>
      </c>
      <c r="AL44" s="1">
        <v>115928</v>
      </c>
    </row>
    <row r="45" spans="4:38" x14ac:dyDescent="0.3">
      <c r="D45" s="2">
        <v>42</v>
      </c>
      <c r="E45" s="2">
        <f>SEARCH("mul",$C$4,E44+1)</f>
        <v>973</v>
      </c>
      <c r="F45" s="2" t="str">
        <f>MID($C$4,E45,$F$1)</f>
        <v>mul(526,718) mu</v>
      </c>
      <c r="G45" s="3">
        <f>SEARCH("(",F45)</f>
        <v>4</v>
      </c>
      <c r="H45" s="3">
        <f>SEARCH(",",F45)</f>
        <v>8</v>
      </c>
      <c r="I45" s="3">
        <f>SEARCH(")",F45)</f>
        <v>12</v>
      </c>
      <c r="J45" s="2" t="str">
        <f>IF(OR(ISERROR(G45),ISERROR(H45),ISERROR(I45)),"CORRUPT!","")</f>
        <v/>
      </c>
      <c r="K45" s="2" t="str">
        <f>IF(J45&lt;&gt;"","",MID(F45, G45+1, H45-G45-1))</f>
        <v>526</v>
      </c>
      <c r="L45" s="2">
        <f>IF(J45&lt;&gt;"","",LEN(K45))</f>
        <v>3</v>
      </c>
      <c r="M45" s="2" t="str">
        <f>IF(J45&lt;&gt;"","",MID(F45, H45+1, I45-H45-1))</f>
        <v>718</v>
      </c>
      <c r="N45" s="2">
        <f>IF(J45&lt;&gt;"","",LEN(M45))</f>
        <v>3</v>
      </c>
      <c r="O45" s="2">
        <f>IF(J45&lt;&gt;"","",K45*M45)</f>
        <v>377668</v>
      </c>
      <c r="R45" s="1" t="str">
        <v>796,16)</v>
      </c>
      <c r="S45" s="1" t="str">
        <v>796,16</v>
      </c>
      <c r="T45" s="1" t="str">
        <v>796</v>
      </c>
      <c r="U45" s="1" t="str">
        <v>16</v>
      </c>
      <c r="V45" s="1">
        <v>12736</v>
      </c>
      <c r="AH45" s="1" t="str">
        <v>121,293)select()@who()!</v>
      </c>
      <c r="AI45" s="1" t="str">
        <v>121,293</v>
      </c>
      <c r="AJ45" s="1" t="str">
        <v>121</v>
      </c>
      <c r="AK45" s="1" t="str">
        <v>293</v>
      </c>
      <c r="AL45" s="1">
        <v>35453</v>
      </c>
    </row>
    <row r="46" spans="4:38" x14ac:dyDescent="0.3">
      <c r="D46" s="2">
        <v>43</v>
      </c>
      <c r="E46" s="2">
        <f>SEARCH("mul",$C$4,E45+1)</f>
        <v>986</v>
      </c>
      <c r="F46" s="2" t="str">
        <f>MID($C$4,E46,$F$1)</f>
        <v>mul(66,417)#@&gt;~</v>
      </c>
      <c r="G46" s="3">
        <f>SEARCH("(",F46)</f>
        <v>4</v>
      </c>
      <c r="H46" s="3">
        <f>SEARCH(",",F46)</f>
        <v>7</v>
      </c>
      <c r="I46" s="3">
        <f>SEARCH(")",F46)</f>
        <v>11</v>
      </c>
      <c r="J46" s="2" t="str">
        <f>IF(OR(ISERROR(G46),ISERROR(H46),ISERROR(I46)),"CORRUPT!","")</f>
        <v/>
      </c>
      <c r="K46" s="2" t="str">
        <f>IF(J46&lt;&gt;"","",MID(F46, G46+1, H46-G46-1))</f>
        <v>66</v>
      </c>
      <c r="L46" s="2">
        <f>IF(J46&lt;&gt;"","",LEN(K46))</f>
        <v>2</v>
      </c>
      <c r="M46" s="2" t="str">
        <f>IF(J46&lt;&gt;"","",MID(F46, H46+1, I46-H46-1))</f>
        <v>417</v>
      </c>
      <c r="N46" s="2">
        <f>IF(J46&lt;&gt;"","",LEN(M46))</f>
        <v>3</v>
      </c>
      <c r="O46" s="2">
        <f>IF(J46&lt;&gt;"","",K46*M46)</f>
        <v>27522</v>
      </c>
      <c r="R46" s="1" t="str">
        <v xml:space="preserve">526,718) </v>
      </c>
      <c r="S46" s="1" t="str">
        <v>526,718</v>
      </c>
      <c r="T46" s="1" t="str">
        <v>526</v>
      </c>
      <c r="U46" s="1" t="str">
        <v>718</v>
      </c>
      <c r="V46" s="1">
        <v>377668</v>
      </c>
      <c r="AH46" s="1" t="str">
        <v>770,96)+;%from(467,168)</v>
      </c>
      <c r="AI46" s="1" t="str">
        <v>770,96</v>
      </c>
      <c r="AJ46" s="1" t="str">
        <v>770</v>
      </c>
      <c r="AK46" s="1" t="str">
        <v>96</v>
      </c>
      <c r="AL46" s="1">
        <v>73920</v>
      </c>
    </row>
    <row r="47" spans="4:38" x14ac:dyDescent="0.3">
      <c r="D47" s="2">
        <v>44</v>
      </c>
      <c r="E47" s="2">
        <f>SEARCH("mul",$C$4,E46+1)</f>
        <v>1033</v>
      </c>
      <c r="F47" s="2" t="str">
        <f>MID($C$4,E47,$F$1)</f>
        <v>mul(8,111);!whe</v>
      </c>
      <c r="G47" s="3">
        <f>SEARCH("(",F47)</f>
        <v>4</v>
      </c>
      <c r="H47" s="3">
        <f>SEARCH(",",F47)</f>
        <v>6</v>
      </c>
      <c r="I47" s="3">
        <f>SEARCH(")",F47)</f>
        <v>10</v>
      </c>
      <c r="J47" s="2" t="str">
        <f>IF(OR(ISERROR(G47),ISERROR(H47),ISERROR(I47)),"CORRUPT!","")</f>
        <v/>
      </c>
      <c r="K47" s="2" t="str">
        <f>IF(J47&lt;&gt;"","",MID(F47, G47+1, H47-G47-1))</f>
        <v>8</v>
      </c>
      <c r="L47" s="2">
        <f>IF(J47&lt;&gt;"","",LEN(K47))</f>
        <v>1</v>
      </c>
      <c r="M47" s="2" t="str">
        <f>IF(J47&lt;&gt;"","",MID(F47, H47+1, I47-H47-1))</f>
        <v>111</v>
      </c>
      <c r="N47" s="2">
        <f>IF(J47&lt;&gt;"","",LEN(M47))</f>
        <v>3</v>
      </c>
      <c r="O47" s="2">
        <f>IF(J47&lt;&gt;"","",K47*M47)</f>
        <v>888</v>
      </c>
      <c r="R47" s="1" t="str">
        <v>66,417)#@&gt;~do()why()from()/select()when():&amp;</v>
      </c>
      <c r="S47" s="1" t="str">
        <v>66,417</v>
      </c>
      <c r="T47" s="1" t="str">
        <v>66</v>
      </c>
      <c r="U47" s="1" t="str">
        <v>417</v>
      </c>
      <c r="V47" s="1">
        <v>27522</v>
      </c>
      <c r="AH47" s="1" t="str">
        <v>616,890)@%:)[</v>
      </c>
      <c r="AI47" s="1" t="str">
        <v>616,890</v>
      </c>
      <c r="AJ47" s="1" t="str">
        <v>616</v>
      </c>
      <c r="AK47" s="1" t="str">
        <v>890</v>
      </c>
      <c r="AL47" s="1">
        <v>548240</v>
      </c>
    </row>
    <row r="48" spans="4:38" x14ac:dyDescent="0.3">
      <c r="D48" s="2">
        <v>45</v>
      </c>
      <c r="E48" s="2">
        <f>SEARCH("mul",$C$4,E47+1)</f>
        <v>1058</v>
      </c>
      <c r="F48" s="2" t="str">
        <f>MID($C$4,E48,$F$1)</f>
        <v>mul(433,239)*}h</v>
      </c>
      <c r="G48" s="3">
        <f>SEARCH("(",F48)</f>
        <v>4</v>
      </c>
      <c r="H48" s="3">
        <f>SEARCH(",",F48)</f>
        <v>8</v>
      </c>
      <c r="I48" s="3">
        <f>SEARCH(")",F48)</f>
        <v>12</v>
      </c>
      <c r="J48" s="2" t="str">
        <f>IF(OR(ISERROR(G48),ISERROR(H48),ISERROR(I48)),"CORRUPT!","")</f>
        <v/>
      </c>
      <c r="K48" s="2" t="str">
        <f>IF(J48&lt;&gt;"","",MID(F48, G48+1, H48-G48-1))</f>
        <v>433</v>
      </c>
      <c r="L48" s="2">
        <f>IF(J48&lt;&gt;"","",LEN(K48))</f>
        <v>3</v>
      </c>
      <c r="M48" s="2" t="str">
        <f>IF(J48&lt;&gt;"","",MID(F48, H48+1, I48-H48-1))</f>
        <v>239</v>
      </c>
      <c r="N48" s="2">
        <f>IF(J48&lt;&gt;"","",LEN(M48))</f>
        <v>3</v>
      </c>
      <c r="O48" s="2">
        <f>IF(J48&lt;&gt;"","",K48*M48)</f>
        <v>103487</v>
      </c>
      <c r="R48" s="1" t="str">
        <v>8,111);!where()do()}@</v>
      </c>
      <c r="S48" s="1" t="str">
        <v>8,111</v>
      </c>
      <c r="T48" s="1" t="str">
        <v>8</v>
      </c>
      <c r="U48" s="1" t="str">
        <v>111</v>
      </c>
      <c r="V48" s="1">
        <v>888</v>
      </c>
      <c r="AH48" s="1" t="str">
        <v>943,145) [from()&amp;where(283,130){*where()</v>
      </c>
      <c r="AI48" s="1" t="str">
        <v>943,145</v>
      </c>
      <c r="AJ48" s="1" t="str">
        <v>943</v>
      </c>
      <c r="AK48" s="1" t="str">
        <v>145</v>
      </c>
      <c r="AL48" s="1">
        <v>136735</v>
      </c>
    </row>
    <row r="49" spans="4:38" x14ac:dyDescent="0.3">
      <c r="D49" s="2">
        <v>46</v>
      </c>
      <c r="E49" s="2">
        <f>SEARCH("mul",$C$4,E48+1)</f>
        <v>1087</v>
      </c>
      <c r="F49" s="2" t="str">
        <f>MID($C$4,E49,$F$1)</f>
        <v>mul(167,905)-&amp;%</v>
      </c>
      <c r="G49" s="3">
        <f>SEARCH("(",F49)</f>
        <v>4</v>
      </c>
      <c r="H49" s="3">
        <f>SEARCH(",",F49)</f>
        <v>8</v>
      </c>
      <c r="I49" s="3">
        <f>SEARCH(")",F49)</f>
        <v>12</v>
      </c>
      <c r="J49" s="2" t="str">
        <f>IF(OR(ISERROR(G49),ISERROR(H49),ISERROR(I49)),"CORRUPT!","")</f>
        <v/>
      </c>
      <c r="K49" s="2" t="str">
        <f>IF(J49&lt;&gt;"","",MID(F49, G49+1, H49-G49-1))</f>
        <v>167</v>
      </c>
      <c r="L49" s="2">
        <f>IF(J49&lt;&gt;"","",LEN(K49))</f>
        <v>3</v>
      </c>
      <c r="M49" s="2" t="str">
        <f>IF(J49&lt;&gt;"","",MID(F49, H49+1, I49-H49-1))</f>
        <v>905</v>
      </c>
      <c r="N49" s="2">
        <f>IF(J49&lt;&gt;"","",LEN(M49))</f>
        <v>3</v>
      </c>
      <c r="O49" s="2">
        <f>IF(J49&lt;&gt;"","",K49*M49)</f>
        <v>151135</v>
      </c>
      <c r="R49" s="1" t="str">
        <v>433,239)*}how() {^!do()#^</v>
      </c>
      <c r="S49" s="1" t="str">
        <v>433,239</v>
      </c>
      <c r="T49" s="1" t="str">
        <v>433</v>
      </c>
      <c r="U49" s="1" t="str">
        <v>239</v>
      </c>
      <c r="V49" s="1">
        <v>103487</v>
      </c>
      <c r="AH49" s="1" t="str">
        <v>649,49)select())</v>
      </c>
      <c r="AI49" s="1" t="str">
        <v>649,49</v>
      </c>
      <c r="AJ49" s="1" t="str">
        <v>649</v>
      </c>
      <c r="AK49" s="1" t="str">
        <v>49</v>
      </c>
      <c r="AL49" s="1">
        <v>31801</v>
      </c>
    </row>
    <row r="50" spans="4:38" x14ac:dyDescent="0.3">
      <c r="D50" s="2">
        <v>47</v>
      </c>
      <c r="E50" s="2">
        <f>SEARCH("mul",$C$4,E49+1)</f>
        <v>1103</v>
      </c>
      <c r="F50" s="2" t="str">
        <f>MID($C$4,E50,$F$1)</f>
        <v>mul(979,711)whe</v>
      </c>
      <c r="G50" s="3">
        <f>SEARCH("(",F50)</f>
        <v>4</v>
      </c>
      <c r="H50" s="3">
        <f>SEARCH(",",F50)</f>
        <v>8</v>
      </c>
      <c r="I50" s="3">
        <f>SEARCH(")",F50)</f>
        <v>12</v>
      </c>
      <c r="J50" s="2" t="str">
        <f>IF(OR(ISERROR(G50),ISERROR(H50),ISERROR(I50)),"CORRUPT!","")</f>
        <v/>
      </c>
      <c r="K50" s="2" t="str">
        <f>IF(J50&lt;&gt;"","",MID(F50, G50+1, H50-G50-1))</f>
        <v>979</v>
      </c>
      <c r="L50" s="2">
        <f>IF(J50&lt;&gt;"","",LEN(K50))</f>
        <v>3</v>
      </c>
      <c r="M50" s="2" t="str">
        <f>IF(J50&lt;&gt;"","",MID(F50, H50+1, I50-H50-1))</f>
        <v>711</v>
      </c>
      <c r="N50" s="2">
        <f>IF(J50&lt;&gt;"","",LEN(M50))</f>
        <v>3</v>
      </c>
      <c r="O50" s="2">
        <f>IF(J50&lt;&gt;"","",K50*M50)</f>
        <v>696069</v>
      </c>
      <c r="R50" s="1" t="str">
        <v>167,905)-&amp;%(</v>
      </c>
      <c r="S50" s="1" t="str">
        <v>167,905</v>
      </c>
      <c r="T50" s="1" t="str">
        <v>167</v>
      </c>
      <c r="U50" s="1" t="str">
        <v>905</v>
      </c>
      <c r="V50" s="1">
        <v>151135</v>
      </c>
      <c r="AH50" s="1" t="str">
        <v>877,73)from()&lt;</v>
      </c>
      <c r="AI50" s="1" t="str">
        <v>877,73</v>
      </c>
      <c r="AJ50" s="1" t="str">
        <v>877</v>
      </c>
      <c r="AK50" s="1" t="str">
        <v>73</v>
      </c>
      <c r="AL50" s="1">
        <v>64021</v>
      </c>
    </row>
    <row r="51" spans="4:38" x14ac:dyDescent="0.3">
      <c r="D51" s="2">
        <v>48</v>
      </c>
      <c r="E51" s="2">
        <f>SEARCH("mul",$C$4,E50+1)</f>
        <v>1129</v>
      </c>
      <c r="F51" s="2" t="str">
        <f>MID($C$4,E51,$F$1)</f>
        <v>mul(523,172)[^w</v>
      </c>
      <c r="G51" s="3">
        <f>SEARCH("(",F51)</f>
        <v>4</v>
      </c>
      <c r="H51" s="3">
        <f>SEARCH(",",F51)</f>
        <v>8</v>
      </c>
      <c r="I51" s="3">
        <f>SEARCH(")",F51)</f>
        <v>12</v>
      </c>
      <c r="J51" s="2" t="str">
        <f>IF(OR(ISERROR(G51),ISERROR(H51),ISERROR(I51)),"CORRUPT!","")</f>
        <v/>
      </c>
      <c r="K51" s="2" t="str">
        <f>IF(J51&lt;&gt;"","",MID(F51, G51+1, H51-G51-1))</f>
        <v>523</v>
      </c>
      <c r="L51" s="2">
        <f>IF(J51&lt;&gt;"","",LEN(K51))</f>
        <v>3</v>
      </c>
      <c r="M51" s="2" t="str">
        <f>IF(J51&lt;&gt;"","",MID(F51, H51+1, I51-H51-1))</f>
        <v>172</v>
      </c>
      <c r="N51" s="2">
        <f>IF(J51&lt;&gt;"","",LEN(M51))</f>
        <v>3</v>
      </c>
      <c r="O51" s="2">
        <f>IF(J51&lt;&gt;"","",K51*M51)</f>
        <v>89956</v>
      </c>
      <c r="R51" s="1" t="str">
        <v>979,711)when()]who()'?</v>
      </c>
      <c r="S51" s="1" t="str">
        <v>979,711</v>
      </c>
      <c r="T51" s="1" t="str">
        <v>979</v>
      </c>
      <c r="U51" s="1" t="str">
        <v>711</v>
      </c>
      <c r="V51" s="1">
        <v>696069</v>
      </c>
      <c r="AH51" s="1" t="str">
        <v>576,966)^,?&gt;@(@{~why()[who()</v>
      </c>
      <c r="AI51" s="1" t="str">
        <v>576,966</v>
      </c>
      <c r="AJ51" s="1" t="str">
        <v>576</v>
      </c>
      <c r="AK51" s="1" t="str">
        <v>966</v>
      </c>
      <c r="AL51" s="1">
        <v>556416</v>
      </c>
    </row>
    <row r="52" spans="4:38" x14ac:dyDescent="0.3">
      <c r="D52" s="2">
        <v>49</v>
      </c>
      <c r="E52" s="2">
        <f>SEARCH("mul",$C$4,E51+1)</f>
        <v>1167</v>
      </c>
      <c r="F52" s="2" t="str">
        <f>MID($C$4,E52,$F$1)</f>
        <v>mul(928,776)whe</v>
      </c>
      <c r="G52" s="3">
        <f>SEARCH("(",F52)</f>
        <v>4</v>
      </c>
      <c r="H52" s="3">
        <f>SEARCH(",",F52)</f>
        <v>8</v>
      </c>
      <c r="I52" s="3">
        <f>SEARCH(")",F52)</f>
        <v>12</v>
      </c>
      <c r="J52" s="2" t="str">
        <f>IF(OR(ISERROR(G52),ISERROR(H52),ISERROR(I52)),"CORRUPT!","")</f>
        <v/>
      </c>
      <c r="K52" s="2" t="str">
        <f>IF(J52&lt;&gt;"","",MID(F52, G52+1, H52-G52-1))</f>
        <v>928</v>
      </c>
      <c r="L52" s="2">
        <f>IF(J52&lt;&gt;"","",LEN(K52))</f>
        <v>3</v>
      </c>
      <c r="M52" s="2" t="str">
        <f>IF(J52&lt;&gt;"","",MID(F52, H52+1, I52-H52-1))</f>
        <v>776</v>
      </c>
      <c r="N52" s="2">
        <f>IF(J52&lt;&gt;"","",LEN(M52))</f>
        <v>3</v>
      </c>
      <c r="O52" s="2">
        <f>IF(J52&lt;&gt;"","",K52*M52)</f>
        <v>720128</v>
      </c>
      <c r="R52" s="1" t="str">
        <v>523,172)[^what(844,455)'what()[/~@</v>
      </c>
      <c r="S52" s="1" t="str">
        <v>523,172</v>
      </c>
      <c r="T52" s="1" t="str">
        <v>523</v>
      </c>
      <c r="U52" s="1" t="str">
        <v>172</v>
      </c>
      <c r="V52" s="1">
        <v>89956</v>
      </c>
      <c r="AH52" s="1" t="str">
        <v>394,492)where()/</v>
      </c>
      <c r="AI52" s="1" t="str">
        <v>394,492</v>
      </c>
      <c r="AJ52" s="1" t="str">
        <v>394</v>
      </c>
      <c r="AK52" s="1" t="str">
        <v>492</v>
      </c>
      <c r="AL52" s="1">
        <v>193848</v>
      </c>
    </row>
    <row r="53" spans="4:38" x14ac:dyDescent="0.3">
      <c r="D53" s="2">
        <v>50</v>
      </c>
      <c r="E53" s="2">
        <f>SEARCH("mul",$C$4,E52+1)</f>
        <v>1189</v>
      </c>
      <c r="F53" s="2" t="str">
        <f>MID($C$4,E53,$F$1)</f>
        <v>mul(587,380)who</v>
      </c>
      <c r="G53" s="3">
        <f>SEARCH("(",F53)</f>
        <v>4</v>
      </c>
      <c r="H53" s="3">
        <f>SEARCH(",",F53)</f>
        <v>8</v>
      </c>
      <c r="I53" s="3">
        <f>SEARCH(")",F53)</f>
        <v>12</v>
      </c>
      <c r="J53" s="2" t="str">
        <f>IF(OR(ISERROR(G53),ISERROR(H53),ISERROR(I53)),"CORRUPT!","")</f>
        <v/>
      </c>
      <c r="K53" s="2" t="str">
        <f>IF(J53&lt;&gt;"","",MID(F53, G53+1, H53-G53-1))</f>
        <v>587</v>
      </c>
      <c r="L53" s="2">
        <f>IF(J53&lt;&gt;"","",LEN(K53))</f>
        <v>3</v>
      </c>
      <c r="M53" s="2" t="str">
        <f>IF(J53&lt;&gt;"","",MID(F53, H53+1, I53-H53-1))</f>
        <v>380</v>
      </c>
      <c r="N53" s="2">
        <f>IF(J53&lt;&gt;"","",LEN(M53))</f>
        <v>3</v>
      </c>
      <c r="O53" s="2">
        <f>IF(J53&lt;&gt;"","",K53*M53)</f>
        <v>223060</v>
      </c>
      <c r="R53" s="1" t="str">
        <v>928,776)where()]&amp;/</v>
      </c>
      <c r="S53" s="1" t="str">
        <v>928,776</v>
      </c>
      <c r="T53" s="1" t="str">
        <v>928</v>
      </c>
      <c r="U53" s="1" t="str">
        <v>776</v>
      </c>
      <c r="V53" s="1">
        <v>720128</v>
      </c>
      <c r="AH53" s="1" t="str">
        <v>508,797)-</v>
      </c>
      <c r="AI53" s="1" t="str">
        <v>508,797</v>
      </c>
      <c r="AJ53" s="1" t="str">
        <v>508</v>
      </c>
      <c r="AK53" s="1" t="str">
        <v>797</v>
      </c>
      <c r="AL53" s="1">
        <v>404876</v>
      </c>
    </row>
    <row r="54" spans="4:38" x14ac:dyDescent="0.3">
      <c r="D54" s="2">
        <v>51</v>
      </c>
      <c r="E54" s="2">
        <f>SEARCH("mul",$C$4,E53+1)</f>
        <v>1228</v>
      </c>
      <c r="F54" s="2" t="str">
        <f>MID($C$4,E54,$F$1)</f>
        <v>mul(97,952)sele</v>
      </c>
      <c r="G54" s="3">
        <f>SEARCH("(",F54)</f>
        <v>4</v>
      </c>
      <c r="H54" s="3">
        <f>SEARCH(",",F54)</f>
        <v>7</v>
      </c>
      <c r="I54" s="3">
        <f>SEARCH(")",F54)</f>
        <v>11</v>
      </c>
      <c r="J54" s="2" t="str">
        <f>IF(OR(ISERROR(G54),ISERROR(H54),ISERROR(I54)),"CORRUPT!","")</f>
        <v/>
      </c>
      <c r="K54" s="2" t="str">
        <f>IF(J54&lt;&gt;"","",MID(F54, G54+1, H54-G54-1))</f>
        <v>97</v>
      </c>
      <c r="L54" s="2">
        <f>IF(J54&lt;&gt;"","",LEN(K54))</f>
        <v>2</v>
      </c>
      <c r="M54" s="2" t="str">
        <f>IF(J54&lt;&gt;"","",MID(F54, H54+1, I54-H54-1))</f>
        <v>952</v>
      </c>
      <c r="N54" s="2">
        <f>IF(J54&lt;&gt;"","",LEN(M54))</f>
        <v>3</v>
      </c>
      <c r="O54" s="2">
        <f>IF(J54&lt;&gt;"","",K54*M54)</f>
        <v>92344</v>
      </c>
      <c r="R54" s="1" t="str">
        <v>587,380)who()/when()how()from(),}#}</v>
      </c>
      <c r="S54" s="1" t="str">
        <v>587,380</v>
      </c>
      <c r="T54" s="1" t="str">
        <v>587</v>
      </c>
      <c r="U54" s="1" t="str">
        <v>380</v>
      </c>
      <c r="V54" s="1">
        <v>223060</v>
      </c>
      <c r="AH54" s="1" t="str">
        <v>150,832)+$@why()(why()~</v>
      </c>
      <c r="AI54" s="1" t="str">
        <v>150,832</v>
      </c>
      <c r="AJ54" s="1" t="str">
        <v>150</v>
      </c>
      <c r="AK54" s="1" t="str">
        <v>832</v>
      </c>
      <c r="AL54" s="1">
        <v>124800</v>
      </c>
    </row>
    <row r="55" spans="4:38" x14ac:dyDescent="0.3">
      <c r="D55" s="2">
        <v>52</v>
      </c>
      <c r="E55" s="2">
        <f>SEARCH("mul",$C$4,E54+1)</f>
        <v>1259</v>
      </c>
      <c r="F55" s="2" t="str">
        <f>MID($C$4,E55,$F$1)</f>
        <v>mul(486,198)^!m</v>
      </c>
      <c r="G55" s="3">
        <f>SEARCH("(",F55)</f>
        <v>4</v>
      </c>
      <c r="H55" s="3">
        <f>SEARCH(",",F55)</f>
        <v>8</v>
      </c>
      <c r="I55" s="3">
        <f>SEARCH(")",F55)</f>
        <v>12</v>
      </c>
      <c r="J55" s="2" t="str">
        <f>IF(OR(ISERROR(G55),ISERROR(H55),ISERROR(I55)),"CORRUPT!","")</f>
        <v/>
      </c>
      <c r="K55" s="2" t="str">
        <f>IF(J55&lt;&gt;"","",MID(F55, G55+1, H55-G55-1))</f>
        <v>486</v>
      </c>
      <c r="L55" s="2">
        <f>IF(J55&lt;&gt;"","",LEN(K55))</f>
        <v>3</v>
      </c>
      <c r="M55" s="2" t="str">
        <f>IF(J55&lt;&gt;"","",MID(F55, H55+1, I55-H55-1))</f>
        <v>198</v>
      </c>
      <c r="N55" s="2">
        <f>IF(J55&lt;&gt;"","",LEN(M55))</f>
        <v>3</v>
      </c>
      <c r="O55" s="2">
        <f>IF(J55&lt;&gt;"","",K55*M55)</f>
        <v>96228</v>
      </c>
      <c r="R55" s="1" t="str">
        <v>97,952)select(837,505)~@&gt;~%</v>
      </c>
      <c r="S55" s="1" t="str">
        <v>97,952</v>
      </c>
      <c r="T55" s="1" t="str">
        <v>97</v>
      </c>
      <c r="U55" s="1" t="str">
        <v>952</v>
      </c>
      <c r="V55" s="1">
        <v>92344</v>
      </c>
      <c r="AH55" s="1" t="str">
        <v>527,236)&lt;!#{how()*!,!</v>
      </c>
      <c r="AI55" s="1" t="str">
        <v>527,236</v>
      </c>
      <c r="AJ55" s="1" t="str">
        <v>527</v>
      </c>
      <c r="AK55" s="1" t="str">
        <v>236</v>
      </c>
      <c r="AL55" s="1">
        <v>124372</v>
      </c>
    </row>
    <row r="56" spans="4:38" x14ac:dyDescent="0.3">
      <c r="D56" s="2">
        <v>53</v>
      </c>
      <c r="E56" s="2">
        <f>SEARCH("mul",$C$4,E55+1)</f>
        <v>1273</v>
      </c>
      <c r="F56" s="2" t="str">
        <f>MID($C$4,E56,$F$1)</f>
        <v>mul(968,779)do(</v>
      </c>
      <c r="G56" s="3">
        <f>SEARCH("(",F56)</f>
        <v>4</v>
      </c>
      <c r="H56" s="3">
        <f>SEARCH(",",F56)</f>
        <v>8</v>
      </c>
      <c r="I56" s="3">
        <f>SEARCH(")",F56)</f>
        <v>12</v>
      </c>
      <c r="J56" s="2" t="str">
        <f>IF(OR(ISERROR(G56),ISERROR(H56),ISERROR(I56)),"CORRUPT!","")</f>
        <v/>
      </c>
      <c r="K56" s="2" t="str">
        <f>IF(J56&lt;&gt;"","",MID(F56, G56+1, H56-G56-1))</f>
        <v>968</v>
      </c>
      <c r="L56" s="2">
        <f>IF(J56&lt;&gt;"","",LEN(K56))</f>
        <v>3</v>
      </c>
      <c r="M56" s="2" t="str">
        <f>IF(J56&lt;&gt;"","",MID(F56, H56+1, I56-H56-1))</f>
        <v>779</v>
      </c>
      <c r="N56" s="2">
        <f>IF(J56&lt;&gt;"","",LEN(M56))</f>
        <v>3</v>
      </c>
      <c r="O56" s="2">
        <f>IF(J56&lt;&gt;"","",K56*M56)</f>
        <v>754072</v>
      </c>
      <c r="R56" s="1" t="str">
        <v>486,198)^!</v>
      </c>
      <c r="S56" s="1" t="str">
        <v>486,198</v>
      </c>
      <c r="T56" s="1" t="str">
        <v>486</v>
      </c>
      <c r="U56" s="1" t="str">
        <v>198</v>
      </c>
      <c r="V56" s="1">
        <v>96228</v>
      </c>
      <c r="AH56" s="1" t="str">
        <v>177,945)'</v>
      </c>
      <c r="AI56" s="1" t="str">
        <v>177,945</v>
      </c>
      <c r="AJ56" s="1" t="str">
        <v>177</v>
      </c>
      <c r="AK56" s="1" t="str">
        <v>945</v>
      </c>
      <c r="AL56" s="1">
        <v>167265</v>
      </c>
    </row>
    <row r="57" spans="4:38" x14ac:dyDescent="0.3">
      <c r="D57" s="2">
        <v>54</v>
      </c>
      <c r="E57" s="2">
        <f>SEARCH("mul",$C$4,E56+1)</f>
        <v>1290</v>
      </c>
      <c r="F57" s="2" t="str">
        <f>MID($C$4,E57,$F$1)</f>
        <v>mul(206,321);,w</v>
      </c>
      <c r="G57" s="3">
        <f>SEARCH("(",F57)</f>
        <v>4</v>
      </c>
      <c r="H57" s="3">
        <f>SEARCH(",",F57)</f>
        <v>8</v>
      </c>
      <c r="I57" s="3">
        <f>SEARCH(")",F57)</f>
        <v>12</v>
      </c>
      <c r="J57" s="2" t="str">
        <f>IF(OR(ISERROR(G57),ISERROR(H57),ISERROR(I57)),"CORRUPT!","")</f>
        <v/>
      </c>
      <c r="K57" s="2" t="str">
        <f>IF(J57&lt;&gt;"","",MID(F57, G57+1, H57-G57-1))</f>
        <v>206</v>
      </c>
      <c r="L57" s="2">
        <f>IF(J57&lt;&gt;"","",LEN(K57))</f>
        <v>3</v>
      </c>
      <c r="M57" s="2" t="str">
        <f>IF(J57&lt;&gt;"","",MID(F57, H57+1, I57-H57-1))</f>
        <v>321</v>
      </c>
      <c r="N57" s="2">
        <f>IF(J57&lt;&gt;"","",LEN(M57))</f>
        <v>3</v>
      </c>
      <c r="O57" s="2">
        <f>IF(J57&lt;&gt;"","",K57*M57)</f>
        <v>66126</v>
      </c>
      <c r="R57" s="1" t="str">
        <v>968,779)do()[</v>
      </c>
      <c r="S57" s="1" t="str">
        <v>968,779</v>
      </c>
      <c r="T57" s="1" t="str">
        <v>968</v>
      </c>
      <c r="U57" s="1" t="str">
        <v>779</v>
      </c>
      <c r="V57" s="1">
        <v>754072</v>
      </c>
      <c r="AH57" s="1" t="str">
        <v>5,181)#!#'&amp;?what()&amp;</v>
      </c>
      <c r="AI57" s="1" t="str">
        <v>5,181</v>
      </c>
      <c r="AJ57" s="1" t="str">
        <v>5</v>
      </c>
      <c r="AK57" s="1" t="str">
        <v>181</v>
      </c>
      <c r="AL57" s="1">
        <v>905</v>
      </c>
    </row>
    <row r="58" spans="4:38" x14ac:dyDescent="0.3">
      <c r="D58" s="2">
        <v>55</v>
      </c>
      <c r="E58" s="2">
        <f>SEARCH("mul",$C$4,E57+1)</f>
        <v>1326</v>
      </c>
      <c r="F58" s="2" t="str">
        <f>MID($C$4,E58,$F$1)</f>
        <v>mul(6,867)-&amp;&lt;!*</v>
      </c>
      <c r="G58" s="3">
        <f>SEARCH("(",F58)</f>
        <v>4</v>
      </c>
      <c r="H58" s="3">
        <f>SEARCH(",",F58)</f>
        <v>6</v>
      </c>
      <c r="I58" s="3">
        <f>SEARCH(")",F58)</f>
        <v>10</v>
      </c>
      <c r="J58" s="2" t="str">
        <f>IF(OR(ISERROR(G58),ISERROR(H58),ISERROR(I58)),"CORRUPT!","")</f>
        <v/>
      </c>
      <c r="K58" s="2" t="str">
        <f>IF(J58&lt;&gt;"","",MID(F58, G58+1, H58-G58-1))</f>
        <v>6</v>
      </c>
      <c r="L58" s="2">
        <f>IF(J58&lt;&gt;"","",LEN(K58))</f>
        <v>1</v>
      </c>
      <c r="M58" s="2" t="str">
        <f>IF(J58&lt;&gt;"","",MID(F58, H58+1, I58-H58-1))</f>
        <v>867</v>
      </c>
      <c r="N58" s="2">
        <f>IF(J58&lt;&gt;"","",LEN(M58))</f>
        <v>3</v>
      </c>
      <c r="O58" s="2">
        <f>IF(J58&lt;&gt;"","",K58*M58)</f>
        <v>5202</v>
      </c>
      <c r="R58" s="1" t="str">
        <v>206,321);,where()where())how()}/</v>
      </c>
      <c r="S58" s="1" t="str">
        <v>206,321</v>
      </c>
      <c r="T58" s="1" t="str">
        <v>206</v>
      </c>
      <c r="U58" s="1" t="str">
        <v>321</v>
      </c>
      <c r="V58" s="1">
        <v>66126</v>
      </c>
      <c r="AH58" s="1" t="str">
        <v>10,492):%/'*</v>
      </c>
      <c r="AI58" s="1" t="str">
        <v>10,492</v>
      </c>
      <c r="AJ58" s="1" t="str">
        <v>10</v>
      </c>
      <c r="AK58" s="1" t="str">
        <v>492</v>
      </c>
      <c r="AL58" s="1">
        <v>4920</v>
      </c>
    </row>
    <row r="59" spans="4:38" x14ac:dyDescent="0.3">
      <c r="D59" s="2">
        <v>56</v>
      </c>
      <c r="E59" s="2">
        <f>SEARCH("mul",$C$4,E58+1)</f>
        <v>1349</v>
      </c>
      <c r="F59" s="2" t="str">
        <f>MID($C$4,E59,$F$1)</f>
        <v>mul(615,984)~?w</v>
      </c>
      <c r="G59" s="3">
        <f>SEARCH("(",F59)</f>
        <v>4</v>
      </c>
      <c r="H59" s="3">
        <f>SEARCH(",",F59)</f>
        <v>8</v>
      </c>
      <c r="I59" s="3">
        <f>SEARCH(")",F59)</f>
        <v>12</v>
      </c>
      <c r="J59" s="2" t="str">
        <f>IF(OR(ISERROR(G59),ISERROR(H59),ISERROR(I59)),"CORRUPT!","")</f>
        <v/>
      </c>
      <c r="K59" s="2" t="str">
        <f>IF(J59&lt;&gt;"","",MID(F59, G59+1, H59-G59-1))</f>
        <v>615</v>
      </c>
      <c r="L59" s="2">
        <f>IF(J59&lt;&gt;"","",LEN(K59))</f>
        <v>3</v>
      </c>
      <c r="M59" s="2" t="str">
        <f>IF(J59&lt;&gt;"","",MID(F59, H59+1, I59-H59-1))</f>
        <v>984</v>
      </c>
      <c r="N59" s="2">
        <f>IF(J59&lt;&gt;"","",LEN(M59))</f>
        <v>3</v>
      </c>
      <c r="O59" s="2">
        <f>IF(J59&lt;&gt;"","",K59*M59)</f>
        <v>605160</v>
      </c>
      <c r="R59" s="1" t="str">
        <v>6,867)-&amp;&lt;!*select()</v>
      </c>
      <c r="S59" s="1" t="str">
        <v>6,867</v>
      </c>
      <c r="T59" s="1" t="str">
        <v>6</v>
      </c>
      <c r="U59" s="1" t="str">
        <v>867</v>
      </c>
      <c r="V59" s="1">
        <v>5202</v>
      </c>
      <c r="AH59" s="1" t="str">
        <v>822,748){!*]who()when()&lt;!&lt;</v>
      </c>
      <c r="AI59" s="1" t="str">
        <v>822,748</v>
      </c>
      <c r="AJ59" s="1" t="str">
        <v>822</v>
      </c>
      <c r="AK59" s="1" t="str">
        <v>748</v>
      </c>
      <c r="AL59" s="1">
        <v>614856</v>
      </c>
    </row>
    <row r="60" spans="4:38" x14ac:dyDescent="0.3">
      <c r="D60" s="2">
        <v>57</v>
      </c>
      <c r="E60" s="2">
        <f>SEARCH("mul",$C$4,E59+1)</f>
        <v>1378</v>
      </c>
      <c r="F60" s="2" t="str">
        <f>MID($C$4,E60,$F$1)</f>
        <v>mul(617,643){ @</v>
      </c>
      <c r="G60" s="3">
        <f>SEARCH("(",F60)</f>
        <v>4</v>
      </c>
      <c r="H60" s="3">
        <f>SEARCH(",",F60)</f>
        <v>8</v>
      </c>
      <c r="I60" s="3">
        <f>SEARCH(")",F60)</f>
        <v>12</v>
      </c>
      <c r="J60" s="2" t="str">
        <f>IF(OR(ISERROR(G60),ISERROR(H60),ISERROR(I60)),"CORRUPT!","")</f>
        <v/>
      </c>
      <c r="K60" s="2" t="str">
        <f>IF(J60&lt;&gt;"","",MID(F60, G60+1, H60-G60-1))</f>
        <v>617</v>
      </c>
      <c r="L60" s="2">
        <f>IF(J60&lt;&gt;"","",LEN(K60))</f>
        <v>3</v>
      </c>
      <c r="M60" s="2" t="str">
        <f>IF(J60&lt;&gt;"","",MID(F60, H60+1, I60-H60-1))</f>
        <v>643</v>
      </c>
      <c r="N60" s="2">
        <f>IF(J60&lt;&gt;"","",LEN(M60))</f>
        <v>3</v>
      </c>
      <c r="O60" s="2">
        <f>IF(J60&lt;&gt;"","",K60*M60)</f>
        <v>396731</v>
      </c>
      <c r="R60" s="1" t="str">
        <v>615,984)~?who()#&lt;{how()?@</v>
      </c>
      <c r="S60" s="1" t="str">
        <v>615,984</v>
      </c>
      <c r="T60" s="1" t="str">
        <v>615</v>
      </c>
      <c r="U60" s="1" t="str">
        <v>984</v>
      </c>
      <c r="V60" s="1">
        <v>605160</v>
      </c>
      <c r="AH60" s="1" t="str">
        <v>21,920)+what()&gt;!:@!^&amp;!</v>
      </c>
      <c r="AI60" s="1" t="str">
        <v>21,920</v>
      </c>
      <c r="AJ60" s="1" t="str">
        <v>21</v>
      </c>
      <c r="AK60" s="1" t="str">
        <v>920</v>
      </c>
      <c r="AL60" s="1">
        <v>19320</v>
      </c>
    </row>
    <row r="61" spans="4:38" x14ac:dyDescent="0.3">
      <c r="D61" s="2">
        <v>58</v>
      </c>
      <c r="E61" s="2">
        <f>SEARCH("mul",$C$4,E60+1)</f>
        <v>1409</v>
      </c>
      <c r="F61" s="2" t="str">
        <f>MID($C$4,E61,$F$1)</f>
        <v>mul(683,583)^(m</v>
      </c>
      <c r="G61" s="3">
        <f>SEARCH("(",F61)</f>
        <v>4</v>
      </c>
      <c r="H61" s="3">
        <f>SEARCH(",",F61)</f>
        <v>8</v>
      </c>
      <c r="I61" s="3">
        <f>SEARCH(")",F61)</f>
        <v>12</v>
      </c>
      <c r="J61" s="2" t="str">
        <f>IF(OR(ISERROR(G61),ISERROR(H61),ISERROR(I61)),"CORRUPT!","")</f>
        <v/>
      </c>
      <c r="K61" s="2" t="str">
        <f>IF(J61&lt;&gt;"","",MID(F61, G61+1, H61-G61-1))</f>
        <v>683</v>
      </c>
      <c r="L61" s="2">
        <f>IF(J61&lt;&gt;"","",LEN(K61))</f>
        <v>3</v>
      </c>
      <c r="M61" s="2" t="str">
        <f>IF(J61&lt;&gt;"","",MID(F61, H61+1, I61-H61-1))</f>
        <v>583</v>
      </c>
      <c r="N61" s="2">
        <f>IF(J61&lt;&gt;"","",LEN(M61))</f>
        <v>3</v>
      </c>
      <c r="O61" s="2">
        <f>IF(J61&lt;&gt;"","",K61*M61)</f>
        <v>398189</v>
      </c>
      <c r="R61" s="1" t="str">
        <v>617,643){ @,'why()+&gt;what()(</v>
      </c>
      <c r="S61" s="1" t="str">
        <v>617,643</v>
      </c>
      <c r="T61" s="1" t="str">
        <v>617</v>
      </c>
      <c r="U61" s="1" t="str">
        <v>643</v>
      </c>
      <c r="V61" s="1">
        <v>396731</v>
      </c>
      <c r="AH61" s="1" t="str">
        <v>324&gt;?!from()where())</v>
      </c>
      <c r="AI61" s="1" t="str">
        <v>324&gt;?!from(</v>
      </c>
      <c r="AJ61" s="1" t="e">
        <v>#N/A</v>
      </c>
      <c r="AK61" s="1" t="e">
        <v>#N/A</v>
      </c>
      <c r="AL61" s="1">
        <v>0</v>
      </c>
    </row>
    <row r="62" spans="4:38" x14ac:dyDescent="0.3">
      <c r="D62" s="2">
        <v>59</v>
      </c>
      <c r="E62" s="2">
        <f>SEARCH("mul",$C$4,E61+1)</f>
        <v>1423</v>
      </c>
      <c r="F62" s="2" t="str">
        <f>MID($C$4,E62,$F$1)</f>
        <v>mul(244,555)^wh</v>
      </c>
      <c r="G62" s="3">
        <f>SEARCH("(",F62)</f>
        <v>4</v>
      </c>
      <c r="H62" s="3">
        <f>SEARCH(",",F62)</f>
        <v>8</v>
      </c>
      <c r="I62" s="3">
        <f>SEARCH(")",F62)</f>
        <v>12</v>
      </c>
      <c r="J62" s="2" t="str">
        <f>IF(OR(ISERROR(G62),ISERROR(H62),ISERROR(I62)),"CORRUPT!","")</f>
        <v/>
      </c>
      <c r="K62" s="2" t="str">
        <f>IF(J62&lt;&gt;"","",MID(F62, G62+1, H62-G62-1))</f>
        <v>244</v>
      </c>
      <c r="L62" s="2">
        <f>IF(J62&lt;&gt;"","",LEN(K62))</f>
        <v>3</v>
      </c>
      <c r="M62" s="2" t="str">
        <f>IF(J62&lt;&gt;"","",MID(F62, H62+1, I62-H62-1))</f>
        <v>555</v>
      </c>
      <c r="N62" s="2">
        <f>IF(J62&lt;&gt;"","",LEN(M62))</f>
        <v>3</v>
      </c>
      <c r="O62" s="2">
        <f>IF(J62&lt;&gt;"","",K62*M62)</f>
        <v>135420</v>
      </c>
      <c r="R62" s="1" t="str">
        <v>683,583)^(</v>
      </c>
      <c r="S62" s="1" t="str">
        <v>683,583</v>
      </c>
      <c r="T62" s="1" t="str">
        <v>683</v>
      </c>
      <c r="U62" s="1" t="str">
        <v>583</v>
      </c>
      <c r="V62" s="1">
        <v>398189</v>
      </c>
      <c r="AH62" s="1" t="str">
        <v>731,184)#(}who()'</v>
      </c>
      <c r="AI62" s="1" t="str">
        <v>731,184</v>
      </c>
      <c r="AJ62" s="1" t="str">
        <v>731</v>
      </c>
      <c r="AK62" s="1" t="str">
        <v>184</v>
      </c>
      <c r="AL62" s="1">
        <v>134504</v>
      </c>
    </row>
    <row r="63" spans="4:38" x14ac:dyDescent="0.3">
      <c r="D63" s="2">
        <v>60</v>
      </c>
      <c r="E63" s="2">
        <f>SEARCH("mul",$C$4,E62+1)</f>
        <v>1464</v>
      </c>
      <c r="F63" s="2" t="str">
        <f>MID($C$4,E63,$F$1)</f>
        <v>mul(827,305);&amp;,</v>
      </c>
      <c r="G63" s="3">
        <f>SEARCH("(",F63)</f>
        <v>4</v>
      </c>
      <c r="H63" s="3">
        <f>SEARCH(",",F63)</f>
        <v>8</v>
      </c>
      <c r="I63" s="3">
        <f>SEARCH(")",F63)</f>
        <v>12</v>
      </c>
      <c r="J63" s="2" t="str">
        <f>IF(OR(ISERROR(G63),ISERROR(H63),ISERROR(I63)),"CORRUPT!","")</f>
        <v/>
      </c>
      <c r="K63" s="2" t="str">
        <f>IF(J63&lt;&gt;"","",MID(F63, G63+1, H63-G63-1))</f>
        <v>827</v>
      </c>
      <c r="L63" s="2">
        <f>IF(J63&lt;&gt;"","",LEN(K63))</f>
        <v>3</v>
      </c>
      <c r="M63" s="2" t="str">
        <f>IF(J63&lt;&gt;"","",MID(F63, H63+1, I63-H63-1))</f>
        <v>305</v>
      </c>
      <c r="N63" s="2">
        <f>IF(J63&lt;&gt;"","",LEN(M63))</f>
        <v>3</v>
      </c>
      <c r="O63" s="2">
        <f>IF(J63&lt;&gt;"","",K63*M63)</f>
        <v>252235</v>
      </c>
      <c r="R63" s="1" t="str">
        <v>244,555)^where()(how()what()?-[,who()</v>
      </c>
      <c r="S63" s="1" t="str">
        <v>244,555</v>
      </c>
      <c r="T63" s="1" t="str">
        <v>244</v>
      </c>
      <c r="U63" s="1" t="str">
        <v>555</v>
      </c>
      <c r="V63" s="1">
        <v>135420</v>
      </c>
      <c r="AH63" s="1" t="str">
        <v>666,377)how()(;</v>
      </c>
      <c r="AI63" s="1" t="str">
        <v>666,377</v>
      </c>
      <c r="AJ63" s="1" t="str">
        <v>666</v>
      </c>
      <c r="AK63" s="1" t="str">
        <v>377</v>
      </c>
      <c r="AL63" s="1">
        <v>251082</v>
      </c>
    </row>
    <row r="64" spans="4:38" x14ac:dyDescent="0.3">
      <c r="D64" s="2">
        <v>61</v>
      </c>
      <c r="E64" s="2">
        <f>SEARCH("mul",$C$4,E63+1)</f>
        <v>1483</v>
      </c>
      <c r="F64" s="2" t="str">
        <f>MID($C$4,E64,$F$1)</f>
        <v>mul(793,452)^ )</v>
      </c>
      <c r="G64" s="3">
        <f>SEARCH("(",F64)</f>
        <v>4</v>
      </c>
      <c r="H64" s="3">
        <f>SEARCH(",",F64)</f>
        <v>8</v>
      </c>
      <c r="I64" s="3">
        <f>SEARCH(")",F64)</f>
        <v>12</v>
      </c>
      <c r="J64" s="2" t="str">
        <f>IF(OR(ISERROR(G64),ISERROR(H64),ISERROR(I64)),"CORRUPT!","")</f>
        <v/>
      </c>
      <c r="K64" s="2" t="str">
        <f>IF(J64&lt;&gt;"","",MID(F64, G64+1, H64-G64-1))</f>
        <v>793</v>
      </c>
      <c r="L64" s="2">
        <f>IF(J64&lt;&gt;"","",LEN(K64))</f>
        <v>3</v>
      </c>
      <c r="M64" s="2" t="str">
        <f>IF(J64&lt;&gt;"","",MID(F64, H64+1, I64-H64-1))</f>
        <v>452</v>
      </c>
      <c r="N64" s="2">
        <f>IF(J64&lt;&gt;"","",LEN(M64))</f>
        <v>3</v>
      </c>
      <c r="O64" s="2">
        <f>IF(J64&lt;&gt;"","",K64*M64)</f>
        <v>358436</v>
      </c>
      <c r="R64" s="1" t="str">
        <v>827,305);&amp;,!$*?</v>
      </c>
      <c r="S64" s="1" t="str">
        <v>827,305</v>
      </c>
      <c r="T64" s="1" t="str">
        <v>827</v>
      </c>
      <c r="U64" s="1" t="str">
        <v>305</v>
      </c>
      <c r="V64" s="1">
        <v>252235</v>
      </c>
      <c r="AH64" s="1" t="str">
        <v>346,141)^select()/@[$how()@]?</v>
      </c>
      <c r="AI64" s="1" t="str">
        <v>346,141</v>
      </c>
      <c r="AJ64" s="1" t="str">
        <v>346</v>
      </c>
      <c r="AK64" s="1" t="str">
        <v>141</v>
      </c>
      <c r="AL64" s="1">
        <v>48786</v>
      </c>
    </row>
    <row r="65" spans="4:38" x14ac:dyDescent="0.3">
      <c r="D65" s="2">
        <v>62</v>
      </c>
      <c r="E65" s="2">
        <f>SEARCH("mul",$C$4,E64+1)</f>
        <v>1510</v>
      </c>
      <c r="F65" s="2" t="str">
        <f>MID($C$4,E65,$F$1)</f>
        <v>mul(318,238)&lt;$-</v>
      </c>
      <c r="G65" s="3">
        <f>SEARCH("(",F65)</f>
        <v>4</v>
      </c>
      <c r="H65" s="3">
        <f>SEARCH(",",F65)</f>
        <v>8</v>
      </c>
      <c r="I65" s="3">
        <f>SEARCH(")",F65)</f>
        <v>12</v>
      </c>
      <c r="J65" s="2" t="str">
        <f>IF(OR(ISERROR(G65),ISERROR(H65),ISERROR(I65)),"CORRUPT!","")</f>
        <v/>
      </c>
      <c r="K65" s="2" t="str">
        <f>IF(J65&lt;&gt;"","",MID(F65, G65+1, H65-G65-1))</f>
        <v>318</v>
      </c>
      <c r="L65" s="2">
        <f>IF(J65&lt;&gt;"","",LEN(K65))</f>
        <v>3</v>
      </c>
      <c r="M65" s="2" t="str">
        <f>IF(J65&lt;&gt;"","",MID(F65, H65+1, I65-H65-1))</f>
        <v>238</v>
      </c>
      <c r="N65" s="2">
        <f>IF(J65&lt;&gt;"","",LEN(M65))</f>
        <v>3</v>
      </c>
      <c r="O65" s="2">
        <f>IF(J65&lt;&gt;"","",K65*M65)</f>
        <v>75684</v>
      </c>
      <c r="R65" s="1" t="str">
        <v>793,452)^ )+(%-where()&lt;</v>
      </c>
      <c r="S65" s="1" t="str">
        <v>793,452</v>
      </c>
      <c r="T65" s="1" t="str">
        <v>793</v>
      </c>
      <c r="U65" s="1" t="str">
        <v>452</v>
      </c>
      <c r="V65" s="1">
        <v>358436</v>
      </c>
      <c r="AH65" s="1" t="str">
        <v>702,502,^where()&lt;}[</v>
      </c>
      <c r="AI65" s="1" t="str">
        <v>702,502,^where(</v>
      </c>
      <c r="AJ65" s="1" t="str">
        <v>702</v>
      </c>
      <c r="AK65" s="1" t="str">
        <v>502,^where(</v>
      </c>
      <c r="AL65" s="1">
        <v>0</v>
      </c>
    </row>
    <row r="66" spans="4:38" x14ac:dyDescent="0.3">
      <c r="D66" s="2">
        <v>63</v>
      </c>
      <c r="E66" s="2">
        <f>SEARCH("mul",$C$4,E65+1)</f>
        <v>1531</v>
      </c>
      <c r="F66" s="2" t="str">
        <f>MID($C$4,E66,$F$1)</f>
        <v>mul(802,394)?ho</v>
      </c>
      <c r="G66" s="3">
        <f>SEARCH("(",F66)</f>
        <v>4</v>
      </c>
      <c r="H66" s="3">
        <f>SEARCH(",",F66)</f>
        <v>8</v>
      </c>
      <c r="I66" s="3">
        <f>SEARCH(")",F66)</f>
        <v>12</v>
      </c>
      <c r="J66" s="2" t="str">
        <f>IF(OR(ISERROR(G66),ISERROR(H66),ISERROR(I66)),"CORRUPT!","")</f>
        <v/>
      </c>
      <c r="K66" s="2" t="str">
        <f>IF(J66&lt;&gt;"","",MID(F66, G66+1, H66-G66-1))</f>
        <v>802</v>
      </c>
      <c r="L66" s="2">
        <f>IF(J66&lt;&gt;"","",LEN(K66))</f>
        <v>3</v>
      </c>
      <c r="M66" s="2" t="str">
        <f>IF(J66&lt;&gt;"","",MID(F66, H66+1, I66-H66-1))</f>
        <v>394</v>
      </c>
      <c r="N66" s="2">
        <f>IF(J66&lt;&gt;"","",LEN(M66))</f>
        <v>3</v>
      </c>
      <c r="O66" s="2">
        <f>IF(J66&lt;&gt;"","",K66*M66)</f>
        <v>315988</v>
      </c>
      <c r="R66" s="1" t="str">
        <v>318,238)&lt;$-what()</v>
      </c>
      <c r="S66" s="1" t="str">
        <v>318,238</v>
      </c>
      <c r="T66" s="1" t="str">
        <v>318</v>
      </c>
      <c r="U66" s="1" t="str">
        <v>238</v>
      </c>
      <c r="V66" s="1">
        <v>75684</v>
      </c>
      <c r="AH66" s="1" t="str">
        <v>872,308)+^!&lt;@from() {:</v>
      </c>
      <c r="AI66" s="1" t="str">
        <v>872,308</v>
      </c>
      <c r="AJ66" s="1" t="str">
        <v>872</v>
      </c>
      <c r="AK66" s="1" t="str">
        <v>308</v>
      </c>
      <c r="AL66" s="1">
        <v>268576</v>
      </c>
    </row>
    <row r="67" spans="4:38" x14ac:dyDescent="0.3">
      <c r="D67" s="2">
        <v>64</v>
      </c>
      <c r="E67" s="2">
        <f>SEARCH("mul",$C$4,E66+1)</f>
        <v>1550</v>
      </c>
      <c r="F67" s="2" t="str">
        <f>MID($C$4,E67,$F$1)</f>
        <v>mul(488,879)do(</v>
      </c>
      <c r="G67" s="3">
        <f>SEARCH("(",F67)</f>
        <v>4</v>
      </c>
      <c r="H67" s="3">
        <f>SEARCH(",",F67)</f>
        <v>8</v>
      </c>
      <c r="I67" s="3">
        <f>SEARCH(")",F67)</f>
        <v>12</v>
      </c>
      <c r="J67" s="2" t="str">
        <f>IF(OR(ISERROR(G67),ISERROR(H67),ISERROR(I67)),"CORRUPT!","")</f>
        <v/>
      </c>
      <c r="K67" s="2" t="str">
        <f>IF(J67&lt;&gt;"","",MID(F67, G67+1, H67-G67-1))</f>
        <v>488</v>
      </c>
      <c r="L67" s="2">
        <f>IF(J67&lt;&gt;"","",LEN(K67))</f>
        <v>3</v>
      </c>
      <c r="M67" s="2" t="str">
        <f>IF(J67&lt;&gt;"","",MID(F67, H67+1, I67-H67-1))</f>
        <v>879</v>
      </c>
      <c r="N67" s="2">
        <f>IF(J67&lt;&gt;"","",LEN(M67))</f>
        <v>3</v>
      </c>
      <c r="O67" s="2">
        <f>IF(J67&lt;&gt;"","",K67*M67)</f>
        <v>428952</v>
      </c>
      <c r="R67" s="1" t="str">
        <v>802,394)?how()&lt;</v>
      </c>
      <c r="S67" s="1" t="str">
        <v>802,394</v>
      </c>
      <c r="T67" s="1" t="str">
        <v>802</v>
      </c>
      <c r="U67" s="1" t="str">
        <v>394</v>
      </c>
      <c r="V67" s="1">
        <v>315988</v>
      </c>
      <c r="AH67" s="1" t="str">
        <v>537,974)%when()when()%</v>
      </c>
      <c r="AI67" s="1" t="str">
        <v>537,974</v>
      </c>
      <c r="AJ67" s="1" t="str">
        <v>537</v>
      </c>
      <c r="AK67" s="1" t="str">
        <v>974</v>
      </c>
      <c r="AL67" s="1">
        <v>523038</v>
      </c>
    </row>
    <row r="68" spans="4:38" x14ac:dyDescent="0.3">
      <c r="D68" s="2">
        <v>65</v>
      </c>
      <c r="E68" s="2">
        <f>SEARCH("mul",$C$4,E67+1)</f>
        <v>1571</v>
      </c>
      <c r="F68" s="2" t="str">
        <f>MID($C$4,E68,$F$1)</f>
        <v>mul(429,358)~ho</v>
      </c>
      <c r="G68" s="3">
        <f>SEARCH("(",F68)</f>
        <v>4</v>
      </c>
      <c r="H68" s="3">
        <f>SEARCH(",",F68)</f>
        <v>8</v>
      </c>
      <c r="I68" s="3">
        <f>SEARCH(")",F68)</f>
        <v>12</v>
      </c>
      <c r="J68" s="2" t="str">
        <f>IF(OR(ISERROR(G68),ISERROR(H68),ISERROR(I68)),"CORRUPT!","")</f>
        <v/>
      </c>
      <c r="K68" s="2" t="str">
        <f>IF(J68&lt;&gt;"","",MID(F68, G68+1, H68-G68-1))</f>
        <v>429</v>
      </c>
      <c r="L68" s="2">
        <f>IF(J68&lt;&gt;"","",LEN(K68))</f>
        <v>3</v>
      </c>
      <c r="M68" s="2" t="str">
        <f>IF(J68&lt;&gt;"","",MID(F68, H68+1, I68-H68-1))</f>
        <v>358</v>
      </c>
      <c r="N68" s="2">
        <f>IF(J68&lt;&gt;"","",LEN(M68))</f>
        <v>3</v>
      </c>
      <c r="O68" s="2">
        <f>IF(J68&lt;&gt;"","",K68*M68)</f>
        <v>153582</v>
      </c>
      <c r="R68" s="1" t="str">
        <v>488,879)do()$}&lt;:&amp;</v>
      </c>
      <c r="S68" s="1" t="str">
        <v>488,879</v>
      </c>
      <c r="T68" s="1" t="str">
        <v>488</v>
      </c>
      <c r="U68" s="1" t="str">
        <v>879</v>
      </c>
      <c r="V68" s="1">
        <v>428952</v>
      </c>
      <c r="AH68" s="1" t="str">
        <v>563,805)select()&gt;how()&gt;^';</v>
      </c>
      <c r="AI68" s="1" t="str">
        <v>563,805</v>
      </c>
      <c r="AJ68" s="1" t="str">
        <v>563</v>
      </c>
      <c r="AK68" s="1" t="str">
        <v>805</v>
      </c>
      <c r="AL68" s="1">
        <v>453215</v>
      </c>
    </row>
    <row r="69" spans="4:38" x14ac:dyDescent="0.3">
      <c r="D69" s="2">
        <v>66</v>
      </c>
      <c r="E69" s="2">
        <f>SEARCH("mul",$C$4,E68+1)</f>
        <v>1589</v>
      </c>
      <c r="F69" s="2" t="str">
        <f>MID($C$4,E69,$F$1)</f>
        <v>mul(36,174)mul(</v>
      </c>
      <c r="G69" s="3">
        <f>SEARCH("(",F69)</f>
        <v>4</v>
      </c>
      <c r="H69" s="3">
        <f>SEARCH(",",F69)</f>
        <v>7</v>
      </c>
      <c r="I69" s="3">
        <f>SEARCH(")",F69)</f>
        <v>11</v>
      </c>
      <c r="J69" s="2" t="str">
        <f>IF(OR(ISERROR(G69),ISERROR(H69),ISERROR(I69)),"CORRUPT!","")</f>
        <v/>
      </c>
      <c r="K69" s="2" t="str">
        <f>IF(J69&lt;&gt;"","",MID(F69, G69+1, H69-G69-1))</f>
        <v>36</v>
      </c>
      <c r="L69" s="2">
        <f>IF(J69&lt;&gt;"","",LEN(K69))</f>
        <v>2</v>
      </c>
      <c r="M69" s="2" t="str">
        <f>IF(J69&lt;&gt;"","",MID(F69, H69+1, I69-H69-1))</f>
        <v>174</v>
      </c>
      <c r="N69" s="2">
        <f>IF(J69&lt;&gt;"","",LEN(M69))</f>
        <v>3</v>
      </c>
      <c r="O69" s="2">
        <f>IF(J69&lt;&gt;"","",K69*M69)</f>
        <v>6264</v>
      </c>
      <c r="R69" s="1" t="str">
        <v>429,358)~how()</v>
      </c>
      <c r="S69" s="1" t="str">
        <v>429,358</v>
      </c>
      <c r="T69" s="1" t="str">
        <v>429</v>
      </c>
      <c r="U69" s="1" t="str">
        <v>358</v>
      </c>
      <c r="V69" s="1">
        <v>153582</v>
      </c>
      <c r="AH69" s="1" t="str">
        <v>643,555))where(290,606)who()?</v>
      </c>
      <c r="AI69" s="1" t="str">
        <v>643,555</v>
      </c>
      <c r="AJ69" s="1" t="str">
        <v>643</v>
      </c>
      <c r="AK69" s="1" t="str">
        <v>555</v>
      </c>
      <c r="AL69" s="1">
        <v>356865</v>
      </c>
    </row>
    <row r="70" spans="4:38" x14ac:dyDescent="0.3">
      <c r="D70" s="2">
        <v>67</v>
      </c>
      <c r="E70" s="2">
        <f>SEARCH("mul",$C$4,E69+1)</f>
        <v>1600</v>
      </c>
      <c r="F70" s="2" t="str">
        <f>MID($C$4,E70,$F$1)</f>
        <v>mul(87,398)+%wh</v>
      </c>
      <c r="G70" s="3">
        <f>SEARCH("(",F70)</f>
        <v>4</v>
      </c>
      <c r="H70" s="3">
        <f>SEARCH(",",F70)</f>
        <v>7</v>
      </c>
      <c r="I70" s="3">
        <f>SEARCH(")",F70)</f>
        <v>11</v>
      </c>
      <c r="J70" s="2" t="str">
        <f>IF(OR(ISERROR(G70),ISERROR(H70),ISERROR(I70)),"CORRUPT!","")</f>
        <v/>
      </c>
      <c r="K70" s="2" t="str">
        <f>IF(J70&lt;&gt;"","",MID(F70, G70+1, H70-G70-1))</f>
        <v>87</v>
      </c>
      <c r="L70" s="2">
        <f>IF(J70&lt;&gt;"","",LEN(K70))</f>
        <v>2</v>
      </c>
      <c r="M70" s="2" t="str">
        <f>IF(J70&lt;&gt;"","",MID(F70, H70+1, I70-H70-1))</f>
        <v>398</v>
      </c>
      <c r="N70" s="2">
        <f>IF(J70&lt;&gt;"","",LEN(M70))</f>
        <v>3</v>
      </c>
      <c r="O70" s="2">
        <f>IF(J70&lt;&gt;"","",K70*M70)</f>
        <v>34626</v>
      </c>
      <c r="R70" s="1" t="str">
        <v>36,174)</v>
      </c>
      <c r="S70" s="1" t="str">
        <v>36,174</v>
      </c>
      <c r="T70" s="1" t="str">
        <v>36</v>
      </c>
      <c r="U70" s="1" t="str">
        <v>174</v>
      </c>
      <c r="V70" s="1">
        <v>6264</v>
      </c>
      <c r="AH70" s="1" t="str">
        <v xml:space="preserve">656,803),?$/*?when()}@ </v>
      </c>
      <c r="AI70" s="1" t="str">
        <v>656,803</v>
      </c>
      <c r="AJ70" s="1" t="str">
        <v>656</v>
      </c>
      <c r="AK70" s="1" t="str">
        <v>803</v>
      </c>
      <c r="AL70" s="1">
        <v>526768</v>
      </c>
    </row>
    <row r="71" spans="4:38" x14ac:dyDescent="0.3">
      <c r="D71" s="2">
        <v>68</v>
      </c>
      <c r="E71" s="2">
        <f>SEARCH("mul",$C$4,E70+1)</f>
        <v>1620</v>
      </c>
      <c r="F71" s="2" t="str">
        <f>MID($C$4,E71,$F$1)</f>
        <v>mul(822,311)mul</v>
      </c>
      <c r="G71" s="3">
        <f>SEARCH("(",F71)</f>
        <v>4</v>
      </c>
      <c r="H71" s="3">
        <f>SEARCH(",",F71)</f>
        <v>8</v>
      </c>
      <c r="I71" s="3">
        <f>SEARCH(")",F71)</f>
        <v>12</v>
      </c>
      <c r="J71" s="2" t="str">
        <f>IF(OR(ISERROR(G71),ISERROR(H71),ISERROR(I71)),"CORRUPT!","")</f>
        <v/>
      </c>
      <c r="K71" s="2" t="str">
        <f>IF(J71&lt;&gt;"","",MID(F71, G71+1, H71-G71-1))</f>
        <v>822</v>
      </c>
      <c r="L71" s="2">
        <f>IF(J71&lt;&gt;"","",LEN(K71))</f>
        <v>3</v>
      </c>
      <c r="M71" s="2" t="str">
        <f>IF(J71&lt;&gt;"","",MID(F71, H71+1, I71-H71-1))</f>
        <v>311</v>
      </c>
      <c r="N71" s="2">
        <f>IF(J71&lt;&gt;"","",LEN(M71))</f>
        <v>3</v>
      </c>
      <c r="O71" s="2">
        <f>IF(J71&lt;&gt;"","",K71*M71)</f>
        <v>255642</v>
      </c>
      <c r="R71" s="1" t="str">
        <v>87,398)+%what()]</v>
      </c>
      <c r="S71" s="1" t="str">
        <v>87,398</v>
      </c>
      <c r="T71" s="1" t="str">
        <v>87</v>
      </c>
      <c r="U71" s="1" t="str">
        <v>398</v>
      </c>
      <c r="V71" s="1">
        <v>34626</v>
      </c>
      <c r="AH71" s="1" t="str">
        <v>228,902)~/from(){where()what()&gt;@~</v>
      </c>
      <c r="AI71" s="1" t="str">
        <v>228,902</v>
      </c>
      <c r="AJ71" s="1" t="str">
        <v>228</v>
      </c>
      <c r="AK71" s="1" t="str">
        <v>902</v>
      </c>
      <c r="AL71" s="1">
        <v>205656</v>
      </c>
    </row>
    <row r="72" spans="4:38" x14ac:dyDescent="0.3">
      <c r="D72" s="2">
        <v>69</v>
      </c>
      <c r="E72" s="2">
        <f>SEARCH("mul",$C$4,E71+1)</f>
        <v>1632</v>
      </c>
      <c r="F72" s="2" t="str">
        <f>MID($C$4,E72,$F$1)</f>
        <v>mul(379,261)~wh</v>
      </c>
      <c r="G72" s="3">
        <f>SEARCH("(",F72)</f>
        <v>4</v>
      </c>
      <c r="H72" s="3">
        <f>SEARCH(",",F72)</f>
        <v>8</v>
      </c>
      <c r="I72" s="3">
        <f>SEARCH(")",F72)</f>
        <v>12</v>
      </c>
      <c r="J72" s="2" t="str">
        <f>IF(OR(ISERROR(G72),ISERROR(H72),ISERROR(I72)),"CORRUPT!","")</f>
        <v/>
      </c>
      <c r="K72" s="2" t="str">
        <f>IF(J72&lt;&gt;"","",MID(F72, G72+1, H72-G72-1))</f>
        <v>379</v>
      </c>
      <c r="L72" s="2">
        <f>IF(J72&lt;&gt;"","",LEN(K72))</f>
        <v>3</v>
      </c>
      <c r="M72" s="2" t="str">
        <f>IF(J72&lt;&gt;"","",MID(F72, H72+1, I72-H72-1))</f>
        <v>261</v>
      </c>
      <c r="N72" s="2">
        <f>IF(J72&lt;&gt;"","",LEN(M72))</f>
        <v>3</v>
      </c>
      <c r="O72" s="2">
        <f>IF(J72&lt;&gt;"","",K72*M72)</f>
        <v>98919</v>
      </c>
      <c r="R72" s="1" t="str">
        <v>822,311)</v>
      </c>
      <c r="S72" s="1" t="str">
        <v>822,311</v>
      </c>
      <c r="T72" s="1" t="str">
        <v>822</v>
      </c>
      <c r="U72" s="1" t="str">
        <v>311</v>
      </c>
      <c r="V72" s="1">
        <v>255642</v>
      </c>
      <c r="AH72" s="1" t="str">
        <v>849,93)~+select()?-^}&lt;</v>
      </c>
      <c r="AI72" s="1" t="str">
        <v>849,93</v>
      </c>
      <c r="AJ72" s="1" t="str">
        <v>849</v>
      </c>
      <c r="AK72" s="1" t="str">
        <v>93</v>
      </c>
      <c r="AL72" s="1">
        <v>78957</v>
      </c>
    </row>
    <row r="73" spans="4:38" x14ac:dyDescent="0.3">
      <c r="D73" s="2">
        <v>70</v>
      </c>
      <c r="E73" s="2">
        <f>SEARCH("mul",$C$4,E72+1)</f>
        <v>1651</v>
      </c>
      <c r="F73" s="2" t="str">
        <f>MID($C$4,E73,$F$1)</f>
        <v>mul(618,193)@)!</v>
      </c>
      <c r="G73" s="3">
        <f>SEARCH("(",F73)</f>
        <v>4</v>
      </c>
      <c r="H73" s="3">
        <f>SEARCH(",",F73)</f>
        <v>8</v>
      </c>
      <c r="I73" s="3">
        <f>SEARCH(")",F73)</f>
        <v>12</v>
      </c>
      <c r="J73" s="2" t="str">
        <f>IF(OR(ISERROR(G73),ISERROR(H73),ISERROR(I73)),"CORRUPT!","")</f>
        <v/>
      </c>
      <c r="K73" s="2" t="str">
        <f>IF(J73&lt;&gt;"","",MID(F73, G73+1, H73-G73-1))</f>
        <v>618</v>
      </c>
      <c r="L73" s="2">
        <f>IF(J73&lt;&gt;"","",LEN(K73))</f>
        <v>3</v>
      </c>
      <c r="M73" s="2" t="str">
        <f>IF(J73&lt;&gt;"","",MID(F73, H73+1, I73-H73-1))</f>
        <v>193</v>
      </c>
      <c r="N73" s="2">
        <f>IF(J73&lt;&gt;"","",LEN(M73))</f>
        <v>3</v>
      </c>
      <c r="O73" s="2">
        <f>IF(J73&lt;&gt;"","",K73*M73)</f>
        <v>119274</v>
      </c>
      <c r="R73" s="1" t="str">
        <v>379,261)~when()</v>
      </c>
      <c r="S73" s="1" t="str">
        <v>379,261</v>
      </c>
      <c r="T73" s="1" t="str">
        <v>379</v>
      </c>
      <c r="U73" s="1" t="str">
        <v>261</v>
      </c>
      <c r="V73" s="1">
        <v>98919</v>
      </c>
      <c r="AH73" s="1" t="str">
        <v>844,117)(when()~,}# /:+</v>
      </c>
      <c r="AI73" s="1" t="str">
        <v>844,117</v>
      </c>
      <c r="AJ73" s="1" t="str">
        <v>844</v>
      </c>
      <c r="AK73" s="1" t="str">
        <v>117</v>
      </c>
      <c r="AL73" s="1">
        <v>98748</v>
      </c>
    </row>
    <row r="74" spans="4:38" x14ac:dyDescent="0.3">
      <c r="D74" s="2">
        <v>71</v>
      </c>
      <c r="E74" s="2">
        <f>SEARCH("mul",$C$4,E73+1)</f>
        <v>1688</v>
      </c>
      <c r="F74" s="2" t="str">
        <f>MID($C$4,E74,$F$1)</f>
        <v>mul(964,102);wh</v>
      </c>
      <c r="G74" s="3">
        <f>SEARCH("(",F74)</f>
        <v>4</v>
      </c>
      <c r="H74" s="3">
        <f>SEARCH(",",F74)</f>
        <v>8</v>
      </c>
      <c r="I74" s="3">
        <f>SEARCH(")",F74)</f>
        <v>12</v>
      </c>
      <c r="J74" s="2" t="str">
        <f>IF(OR(ISERROR(G74),ISERROR(H74),ISERROR(I74)),"CORRUPT!","")</f>
        <v/>
      </c>
      <c r="K74" s="2" t="str">
        <f>IF(J74&lt;&gt;"","",MID(F74, G74+1, H74-G74-1))</f>
        <v>964</v>
      </c>
      <c r="L74" s="2">
        <f>IF(J74&lt;&gt;"","",LEN(K74))</f>
        <v>3</v>
      </c>
      <c r="M74" s="2" t="str">
        <f>IF(J74&lt;&gt;"","",MID(F74, H74+1, I74-H74-1))</f>
        <v>102</v>
      </c>
      <c r="N74" s="2">
        <f>IF(J74&lt;&gt;"","",LEN(M74))</f>
        <v>3</v>
      </c>
      <c r="O74" s="2">
        <f>IF(J74&lt;&gt;"","",K74*M74)</f>
        <v>98328</v>
      </c>
      <c r="R74" s="1" t="str">
        <v>618,193)@)!))-what()how(645,829)[</v>
      </c>
      <c r="S74" s="1" t="str">
        <v>618,193</v>
      </c>
      <c r="T74" s="1" t="str">
        <v>618</v>
      </c>
      <c r="U74" s="1" t="str">
        <v>193</v>
      </c>
      <c r="V74" s="1">
        <v>119274</v>
      </c>
      <c r="AH74" s="1" t="str">
        <v>24,282)@where()~from()($what()what()*&lt;</v>
      </c>
      <c r="AI74" s="1" t="str">
        <v>24,282</v>
      </c>
      <c r="AJ74" s="1" t="str">
        <v>24</v>
      </c>
      <c r="AK74" s="1" t="str">
        <v>282</v>
      </c>
      <c r="AL74" s="1">
        <v>6768</v>
      </c>
    </row>
    <row r="75" spans="4:38" x14ac:dyDescent="0.3">
      <c r="D75" s="2">
        <v>72</v>
      </c>
      <c r="E75" s="2">
        <f>SEARCH("mul",$C$4,E74+1)</f>
        <v>1738</v>
      </c>
      <c r="F75" s="2" t="str">
        <f>MID($C$4,E75,$F$1)</f>
        <v>mul(121,293)sel</v>
      </c>
      <c r="G75" s="3">
        <f>SEARCH("(",F75)</f>
        <v>4</v>
      </c>
      <c r="H75" s="3">
        <f>SEARCH(",",F75)</f>
        <v>8</v>
      </c>
      <c r="I75" s="3">
        <f>SEARCH(")",F75)</f>
        <v>12</v>
      </c>
      <c r="J75" s="2" t="str">
        <f>IF(OR(ISERROR(G75),ISERROR(H75),ISERROR(I75)),"CORRUPT!","")</f>
        <v/>
      </c>
      <c r="K75" s="2" t="str">
        <f>IF(J75&lt;&gt;"","",MID(F75, G75+1, H75-G75-1))</f>
        <v>121</v>
      </c>
      <c r="L75" s="2">
        <f>IF(J75&lt;&gt;"","",LEN(K75))</f>
        <v>3</v>
      </c>
      <c r="M75" s="2" t="str">
        <f>IF(J75&lt;&gt;"","",MID(F75, H75+1, I75-H75-1))</f>
        <v>293</v>
      </c>
      <c r="N75" s="2">
        <f>IF(J75&lt;&gt;"","",LEN(M75))</f>
        <v>3</v>
      </c>
      <c r="O75" s="2">
        <f>IF(J75&lt;&gt;"","",K75*M75)</f>
        <v>35453</v>
      </c>
      <c r="R75" s="1" t="str">
        <v>964,102);who()don't(),[what(),,?select()why()@</v>
      </c>
      <c r="S75" s="1" t="str">
        <v>964,102</v>
      </c>
      <c r="T75" s="1" t="str">
        <v>964</v>
      </c>
      <c r="U75" s="1" t="str">
        <v>102</v>
      </c>
      <c r="V75" s="1">
        <v>98328</v>
      </c>
      <c r="AH75" s="1" t="str">
        <v>886,107)[#;</v>
      </c>
      <c r="AI75" s="1" t="str">
        <v>886,107</v>
      </c>
      <c r="AJ75" s="1" t="str">
        <v>886</v>
      </c>
      <c r="AK75" s="1" t="str">
        <v>107</v>
      </c>
      <c r="AL75" s="1">
        <v>94802</v>
      </c>
    </row>
    <row r="76" spans="4:38" x14ac:dyDescent="0.3">
      <c r="D76" s="2">
        <v>73</v>
      </c>
      <c r="E76" s="2">
        <f>SEARCH("mul",$C$4,E75+1)</f>
        <v>1765</v>
      </c>
      <c r="F76" s="2" t="str">
        <f>MID($C$4,E76,$F$1)</f>
        <v>mul(770,96)+;%f</v>
      </c>
      <c r="G76" s="3">
        <f>SEARCH("(",F76)</f>
        <v>4</v>
      </c>
      <c r="H76" s="3">
        <f>SEARCH(",",F76)</f>
        <v>8</v>
      </c>
      <c r="I76" s="3">
        <f>SEARCH(")",F76)</f>
        <v>11</v>
      </c>
      <c r="J76" s="2" t="str">
        <f>IF(OR(ISERROR(G76),ISERROR(H76),ISERROR(I76)),"CORRUPT!","")</f>
        <v/>
      </c>
      <c r="K76" s="2" t="str">
        <f>IF(J76&lt;&gt;"","",MID(F76, G76+1, H76-G76-1))</f>
        <v>770</v>
      </c>
      <c r="L76" s="2">
        <f>IF(J76&lt;&gt;"","",LEN(K76))</f>
        <v>3</v>
      </c>
      <c r="M76" s="2" t="str">
        <f>IF(J76&lt;&gt;"","",MID(F76, H76+1, I76-H76-1))</f>
        <v>96</v>
      </c>
      <c r="N76" s="2">
        <f>IF(J76&lt;&gt;"","",LEN(M76))</f>
        <v>2</v>
      </c>
      <c r="O76" s="2">
        <f>IF(J76&lt;&gt;"","",K76*M76)</f>
        <v>73920</v>
      </c>
      <c r="R76" s="1" t="str">
        <v>121,293)select()@who()!</v>
      </c>
      <c r="S76" s="1" t="str">
        <v>121,293</v>
      </c>
      <c r="T76" s="1" t="str">
        <v>121</v>
      </c>
      <c r="U76" s="1" t="str">
        <v>293</v>
      </c>
      <c r="V76" s="1">
        <v>35453</v>
      </c>
      <c r="AH76" s="1" t="str">
        <v>725,121) %[&gt;</v>
      </c>
      <c r="AI76" s="1" t="str">
        <v>725,121</v>
      </c>
      <c r="AJ76" s="1" t="str">
        <v>725</v>
      </c>
      <c r="AK76" s="1" t="str">
        <v>121</v>
      </c>
      <c r="AL76" s="1">
        <v>87725</v>
      </c>
    </row>
    <row r="77" spans="4:38" x14ac:dyDescent="0.3">
      <c r="D77" s="2">
        <v>74</v>
      </c>
      <c r="E77" s="2">
        <f>SEARCH("mul",$C$4,E76+1)</f>
        <v>1792</v>
      </c>
      <c r="F77" s="2" t="str">
        <f>MID($C$4,E77,$F$1)</f>
        <v>mul(616,890)@%:</v>
      </c>
      <c r="G77" s="3">
        <f>SEARCH("(",F77)</f>
        <v>4</v>
      </c>
      <c r="H77" s="3">
        <f>SEARCH(",",F77)</f>
        <v>8</v>
      </c>
      <c r="I77" s="3">
        <f>SEARCH(")",F77)</f>
        <v>12</v>
      </c>
      <c r="J77" s="2" t="str">
        <f>IF(OR(ISERROR(G77),ISERROR(H77),ISERROR(I77)),"CORRUPT!","")</f>
        <v/>
      </c>
      <c r="K77" s="2" t="str">
        <f>IF(J77&lt;&gt;"","",MID(F77, G77+1, H77-G77-1))</f>
        <v>616</v>
      </c>
      <c r="L77" s="2">
        <f>IF(J77&lt;&gt;"","",LEN(K77))</f>
        <v>3</v>
      </c>
      <c r="M77" s="2" t="str">
        <f>IF(J77&lt;&gt;"","",MID(F77, H77+1, I77-H77-1))</f>
        <v>890</v>
      </c>
      <c r="N77" s="2">
        <f>IF(J77&lt;&gt;"","",LEN(M77))</f>
        <v>3</v>
      </c>
      <c r="O77" s="2">
        <f>IF(J77&lt;&gt;"","",K77*M77)</f>
        <v>548240</v>
      </c>
      <c r="R77" s="1" t="str">
        <v>770,96)+;%from(467,168)</v>
      </c>
      <c r="S77" s="1" t="str">
        <v>770,96</v>
      </c>
      <c r="T77" s="1" t="str">
        <v>770</v>
      </c>
      <c r="U77" s="1" t="str">
        <v>96</v>
      </c>
      <c r="V77" s="1">
        <v>73920</v>
      </c>
      <c r="AH77" s="1" t="str">
        <v>115,425)${what()</v>
      </c>
      <c r="AI77" s="1" t="str">
        <v>115,425</v>
      </c>
      <c r="AJ77" s="1" t="str">
        <v>115</v>
      </c>
      <c r="AK77" s="1" t="str">
        <v>425</v>
      </c>
      <c r="AL77" s="1">
        <v>48875</v>
      </c>
    </row>
    <row r="78" spans="4:38" x14ac:dyDescent="0.3">
      <c r="D78" s="2">
        <v>75</v>
      </c>
      <c r="E78" s="2">
        <f>SEARCH("mul",$C$4,E77+1)</f>
        <v>1809</v>
      </c>
      <c r="F78" s="2" t="str">
        <f>MID($C$4,E78,$F$1)</f>
        <v>mul(943,145) [f</v>
      </c>
      <c r="G78" s="3">
        <f>SEARCH("(",F78)</f>
        <v>4</v>
      </c>
      <c r="H78" s="3">
        <f>SEARCH(",",F78)</f>
        <v>8</v>
      </c>
      <c r="I78" s="3">
        <f>SEARCH(")",F78)</f>
        <v>12</v>
      </c>
      <c r="J78" s="2" t="str">
        <f>IF(OR(ISERROR(G78),ISERROR(H78),ISERROR(I78)),"CORRUPT!","")</f>
        <v/>
      </c>
      <c r="K78" s="2" t="str">
        <f>IF(J78&lt;&gt;"","",MID(F78, G78+1, H78-G78-1))</f>
        <v>943</v>
      </c>
      <c r="L78" s="2">
        <f>IF(J78&lt;&gt;"","",LEN(K78))</f>
        <v>3</v>
      </c>
      <c r="M78" s="2" t="str">
        <f>IF(J78&lt;&gt;"","",MID(F78, H78+1, I78-H78-1))</f>
        <v>145</v>
      </c>
      <c r="N78" s="2">
        <f>IF(J78&lt;&gt;"","",LEN(M78))</f>
        <v>3</v>
      </c>
      <c r="O78" s="2">
        <f>IF(J78&lt;&gt;"","",K78*M78)</f>
        <v>136735</v>
      </c>
      <c r="R78" s="1" t="str">
        <v>616,890)@%:)[</v>
      </c>
      <c r="S78" s="1" t="str">
        <v>616,890</v>
      </c>
      <c r="T78" s="1" t="str">
        <v>616</v>
      </c>
      <c r="U78" s="1" t="str">
        <v>890</v>
      </c>
      <c r="V78" s="1">
        <v>548240</v>
      </c>
      <c r="AH78" s="1" t="str">
        <v>219,305)how()])from()&lt;</v>
      </c>
      <c r="AI78" s="1" t="str">
        <v>219,305</v>
      </c>
      <c r="AJ78" s="1" t="str">
        <v>219</v>
      </c>
      <c r="AK78" s="1" t="str">
        <v>305</v>
      </c>
      <c r="AL78" s="1">
        <v>66795</v>
      </c>
    </row>
    <row r="79" spans="4:38" x14ac:dyDescent="0.3">
      <c r="D79" s="2">
        <v>76</v>
      </c>
      <c r="E79" s="2">
        <f>SEARCH("mul",$C$4,E78+1)</f>
        <v>1853</v>
      </c>
      <c r="F79" s="2" t="str">
        <f>MID($C$4,E79,$F$1)</f>
        <v>mul(649,49)sele</v>
      </c>
      <c r="G79" s="3">
        <f>SEARCH("(",F79)</f>
        <v>4</v>
      </c>
      <c r="H79" s="3">
        <f>SEARCH(",",F79)</f>
        <v>8</v>
      </c>
      <c r="I79" s="3">
        <f>SEARCH(")",F79)</f>
        <v>11</v>
      </c>
      <c r="J79" s="2" t="str">
        <f>IF(OR(ISERROR(G79),ISERROR(H79),ISERROR(I79)),"CORRUPT!","")</f>
        <v/>
      </c>
      <c r="K79" s="2" t="str">
        <f>IF(J79&lt;&gt;"","",MID(F79, G79+1, H79-G79-1))</f>
        <v>649</v>
      </c>
      <c r="L79" s="2">
        <f>IF(J79&lt;&gt;"","",LEN(K79))</f>
        <v>3</v>
      </c>
      <c r="M79" s="2" t="str">
        <f>IF(J79&lt;&gt;"","",MID(F79, H79+1, I79-H79-1))</f>
        <v>49</v>
      </c>
      <c r="N79" s="2">
        <f>IF(J79&lt;&gt;"","",LEN(M79))</f>
        <v>2</v>
      </c>
      <c r="O79" s="2">
        <f>IF(J79&lt;&gt;"","",K79*M79)</f>
        <v>31801</v>
      </c>
      <c r="R79" s="1" t="str">
        <v>943,145) [from()&amp;where(283,130){*where()</v>
      </c>
      <c r="S79" s="1" t="str">
        <v>943,145</v>
      </c>
      <c r="T79" s="1" t="str">
        <v>943</v>
      </c>
      <c r="U79" s="1" t="str">
        <v>145</v>
      </c>
      <c r="V79" s="1">
        <v>136735</v>
      </c>
      <c r="AH79" s="1" t="str">
        <v>401,458)-from()+</v>
      </c>
      <c r="AI79" s="1" t="str">
        <v>401,458</v>
      </c>
      <c r="AJ79" s="1" t="str">
        <v>401</v>
      </c>
      <c r="AK79" s="1" t="str">
        <v>458</v>
      </c>
      <c r="AL79" s="1">
        <v>183658</v>
      </c>
    </row>
    <row r="80" spans="4:38" x14ac:dyDescent="0.3">
      <c r="D80" s="2">
        <v>77</v>
      </c>
      <c r="E80" s="2">
        <f>SEARCH("mul",$C$4,E79+1)</f>
        <v>1873</v>
      </c>
      <c r="F80" s="2" t="str">
        <f>MID($C$4,E80,$F$1)</f>
        <v>mul(877,73)from</v>
      </c>
      <c r="G80" s="3">
        <f>SEARCH("(",F80)</f>
        <v>4</v>
      </c>
      <c r="H80" s="3">
        <f>SEARCH(",",F80)</f>
        <v>8</v>
      </c>
      <c r="I80" s="3">
        <f>SEARCH(")",F80)</f>
        <v>11</v>
      </c>
      <c r="J80" s="2" t="str">
        <f>IF(OR(ISERROR(G80),ISERROR(H80),ISERROR(I80)),"CORRUPT!","")</f>
        <v/>
      </c>
      <c r="K80" s="2" t="str">
        <f>IF(J80&lt;&gt;"","",MID(F80, G80+1, H80-G80-1))</f>
        <v>877</v>
      </c>
      <c r="L80" s="2">
        <f>IF(J80&lt;&gt;"","",LEN(K80))</f>
        <v>3</v>
      </c>
      <c r="M80" s="2" t="str">
        <f>IF(J80&lt;&gt;"","",MID(F80, H80+1, I80-H80-1))</f>
        <v>73</v>
      </c>
      <c r="N80" s="2">
        <f>IF(J80&lt;&gt;"","",LEN(M80))</f>
        <v>2</v>
      </c>
      <c r="O80" s="2">
        <f>IF(J80&lt;&gt;"","",K80*M80)</f>
        <v>64021</v>
      </c>
      <c r="R80" s="1" t="str">
        <v>649,49)select())</v>
      </c>
      <c r="S80" s="1" t="str">
        <v>649,49</v>
      </c>
      <c r="T80" s="1" t="str">
        <v>649</v>
      </c>
      <c r="U80" s="1" t="str">
        <v>49</v>
      </c>
      <c r="V80" s="1">
        <v>31801</v>
      </c>
      <c r="AH80" s="1" t="str">
        <v>92,705)}?/,(~+^</v>
      </c>
      <c r="AI80" s="1" t="str">
        <v>92,705</v>
      </c>
      <c r="AJ80" s="1" t="str">
        <v>92</v>
      </c>
      <c r="AK80" s="1" t="str">
        <v>705</v>
      </c>
      <c r="AL80" s="1">
        <v>64860</v>
      </c>
    </row>
    <row r="81" spans="4:38" x14ac:dyDescent="0.3">
      <c r="D81" s="2">
        <v>78</v>
      </c>
      <c r="E81" s="2">
        <f>SEARCH("mul",$C$4,E80+1)</f>
        <v>1929</v>
      </c>
      <c r="F81" s="2" t="str">
        <f>MID($C$4,E81,$F$1)</f>
        <v>mul(592,919)/:w</v>
      </c>
      <c r="G81" s="3">
        <f>SEARCH("(",F81)</f>
        <v>4</v>
      </c>
      <c r="H81" s="3">
        <f>SEARCH(",",F81)</f>
        <v>8</v>
      </c>
      <c r="I81" s="3">
        <f>SEARCH(")",F81)</f>
        <v>12</v>
      </c>
      <c r="J81" s="2" t="str">
        <f>IF(OR(ISERROR(G81),ISERROR(H81),ISERROR(I81)),"CORRUPT!","")</f>
        <v/>
      </c>
      <c r="K81" s="2" t="str">
        <f>IF(J81&lt;&gt;"","",MID(F81, G81+1, H81-G81-1))</f>
        <v>592</v>
      </c>
      <c r="L81" s="2">
        <f>IF(J81&lt;&gt;"","",LEN(K81))</f>
        <v>3</v>
      </c>
      <c r="M81" s="2" t="str">
        <f>IF(J81&lt;&gt;"","",MID(F81, H81+1, I81-H81-1))</f>
        <v>919</v>
      </c>
      <c r="N81" s="2">
        <f>IF(J81&lt;&gt;"","",LEN(M81))</f>
        <v>3</v>
      </c>
      <c r="O81" s="2">
        <f>IF(J81&lt;&gt;"","",K81*M81)</f>
        <v>544048</v>
      </c>
      <c r="R81" s="1" t="str">
        <v>877,73)from()do()where()?where()&gt;who()from()@who(){*</v>
      </c>
      <c r="S81" s="1" t="str">
        <v>877,73</v>
      </c>
      <c r="T81" s="1" t="str">
        <v>877</v>
      </c>
      <c r="U81" s="1" t="str">
        <v>73</v>
      </c>
      <c r="V81" s="1">
        <v>64021</v>
      </c>
      <c r="AH81" s="1" t="str">
        <v>398,379)why()-!why(){}</v>
      </c>
      <c r="AI81" s="1" t="str">
        <v>398,379</v>
      </c>
      <c r="AJ81" s="1" t="str">
        <v>398</v>
      </c>
      <c r="AK81" s="1" t="str">
        <v>379</v>
      </c>
      <c r="AL81" s="1">
        <v>150842</v>
      </c>
    </row>
    <row r="82" spans="4:38" x14ac:dyDescent="0.3">
      <c r="D82" s="2">
        <v>79</v>
      </c>
      <c r="E82" s="2">
        <f>SEARCH("mul",$C$4,E81+1)</f>
        <v>1955</v>
      </c>
      <c r="F82" s="2" t="str">
        <f>MID($C$4,E82,$F$1)</f>
        <v>mul(213,139)wha</v>
      </c>
      <c r="G82" s="3">
        <f>SEARCH("(",F82)</f>
        <v>4</v>
      </c>
      <c r="H82" s="3">
        <f>SEARCH(",",F82)</f>
        <v>8</v>
      </c>
      <c r="I82" s="3">
        <f>SEARCH(")",F82)</f>
        <v>12</v>
      </c>
      <c r="J82" s="2" t="str">
        <f>IF(OR(ISERROR(G82),ISERROR(H82),ISERROR(I82)),"CORRUPT!","")</f>
        <v/>
      </c>
      <c r="K82" s="2" t="str">
        <f>IF(J82&lt;&gt;"","",MID(F82, G82+1, H82-G82-1))</f>
        <v>213</v>
      </c>
      <c r="L82" s="2">
        <f>IF(J82&lt;&gt;"","",LEN(K82))</f>
        <v>3</v>
      </c>
      <c r="M82" s="2" t="str">
        <f>IF(J82&lt;&gt;"","",MID(F82, H82+1, I82-H82-1))</f>
        <v>139</v>
      </c>
      <c r="N82" s="2">
        <f>IF(J82&lt;&gt;"","",LEN(M82))</f>
        <v>3</v>
      </c>
      <c r="O82" s="2">
        <f>IF(J82&lt;&gt;"","",K82*M82)</f>
        <v>29607</v>
      </c>
      <c r="R82" s="1" t="str">
        <v>592,919)/:what():who()</v>
      </c>
      <c r="S82" s="1" t="str">
        <v>592,919</v>
      </c>
      <c r="T82" s="1" t="str">
        <v>592</v>
      </c>
      <c r="U82" s="1" t="str">
        <v>919</v>
      </c>
      <c r="V82" s="1">
        <v>544048</v>
      </c>
      <c r="AH82" s="1" t="str">
        <v>618,341)how(818,559)'%}~+}'!&lt;</v>
      </c>
      <c r="AI82" s="1" t="str">
        <v>618,341</v>
      </c>
      <c r="AJ82" s="1" t="str">
        <v>618</v>
      </c>
      <c r="AK82" s="1" t="str">
        <v>341</v>
      </c>
      <c r="AL82" s="1">
        <v>210738</v>
      </c>
    </row>
    <row r="83" spans="4:38" x14ac:dyDescent="0.3">
      <c r="D83" s="2">
        <v>80</v>
      </c>
      <c r="E83" s="2">
        <f>SEARCH("mul",$C$4,E82+1)</f>
        <v>1996</v>
      </c>
      <c r="F83" s="2" t="str">
        <f>MID($C$4,E83,$F$1)</f>
        <v>mul(661,7)?from</v>
      </c>
      <c r="G83" s="3">
        <f>SEARCH("(",F83)</f>
        <v>4</v>
      </c>
      <c r="H83" s="3">
        <f>SEARCH(",",F83)</f>
        <v>8</v>
      </c>
      <c r="I83" s="3">
        <f>SEARCH(")",F83)</f>
        <v>10</v>
      </c>
      <c r="J83" s="2" t="str">
        <f>IF(OR(ISERROR(G83),ISERROR(H83),ISERROR(I83)),"CORRUPT!","")</f>
        <v/>
      </c>
      <c r="K83" s="2" t="str">
        <f>IF(J83&lt;&gt;"","",MID(F83, G83+1, H83-G83-1))</f>
        <v>661</v>
      </c>
      <c r="L83" s="2">
        <f>IF(J83&lt;&gt;"","",LEN(K83))</f>
        <v>3</v>
      </c>
      <c r="M83" s="2" t="str">
        <f>IF(J83&lt;&gt;"","",MID(F83, H83+1, I83-H83-1))</f>
        <v>7</v>
      </c>
      <c r="N83" s="2">
        <f>IF(J83&lt;&gt;"","",LEN(M83))</f>
        <v>1</v>
      </c>
      <c r="O83" s="2">
        <f>IF(J83&lt;&gt;"","",K83*M83)</f>
        <v>4627</v>
      </c>
      <c r="R83" s="1" t="str">
        <v>213,139)what()$!?*how(934,24)$-who()(</v>
      </c>
      <c r="S83" s="1" t="str">
        <v>213,139</v>
      </c>
      <c r="T83" s="1" t="str">
        <v>213</v>
      </c>
      <c r="U83" s="1" t="str">
        <v>139</v>
      </c>
      <c r="V83" s="1">
        <v>29607</v>
      </c>
      <c r="AH83" s="1" t="str">
        <v>128,74)*- &amp;}+[</v>
      </c>
      <c r="AI83" s="1" t="str">
        <v>128,74</v>
      </c>
      <c r="AJ83" s="1" t="str">
        <v>128</v>
      </c>
      <c r="AK83" s="1" t="str">
        <v>74</v>
      </c>
      <c r="AL83" s="1">
        <v>9472</v>
      </c>
    </row>
    <row r="84" spans="4:38" x14ac:dyDescent="0.3">
      <c r="D84" s="2">
        <v>81</v>
      </c>
      <c r="E84" s="2">
        <f>SEARCH("mul",$C$4,E83+1)</f>
        <v>2021</v>
      </c>
      <c r="F84" s="2" t="str">
        <f>MID($C$4,E84,$F$1)</f>
        <v>mul(876,585)how</v>
      </c>
      <c r="G84" s="3">
        <f>SEARCH("(",F84)</f>
        <v>4</v>
      </c>
      <c r="H84" s="3">
        <f>SEARCH(",",F84)</f>
        <v>8</v>
      </c>
      <c r="I84" s="3">
        <f>SEARCH(")",F84)</f>
        <v>12</v>
      </c>
      <c r="J84" s="2" t="str">
        <f>IF(OR(ISERROR(G84),ISERROR(H84),ISERROR(I84)),"CORRUPT!","")</f>
        <v/>
      </c>
      <c r="K84" s="2" t="str">
        <f>IF(J84&lt;&gt;"","",MID(F84, G84+1, H84-G84-1))</f>
        <v>876</v>
      </c>
      <c r="L84" s="2">
        <f>IF(J84&lt;&gt;"","",LEN(K84))</f>
        <v>3</v>
      </c>
      <c r="M84" s="2" t="str">
        <f>IF(J84&lt;&gt;"","",MID(F84, H84+1, I84-H84-1))</f>
        <v>585</v>
      </c>
      <c r="N84" s="2">
        <f>IF(J84&lt;&gt;"","",LEN(M84))</f>
        <v>3</v>
      </c>
      <c r="O84" s="2">
        <f>IF(J84&lt;&gt;"","",K84*M84)</f>
        <v>512460</v>
      </c>
      <c r="R84" s="1" t="str">
        <v>661,7)?from(),}/who()</v>
      </c>
      <c r="S84" s="1" t="str">
        <v>661,7</v>
      </c>
      <c r="T84" s="1" t="str">
        <v>661</v>
      </c>
      <c r="U84" s="1" t="str">
        <v>7</v>
      </c>
      <c r="V84" s="1">
        <v>4627</v>
      </c>
      <c r="AH84" s="1" t="str">
        <v>830,201)$when()</v>
      </c>
      <c r="AI84" s="1" t="str">
        <v>830,201</v>
      </c>
      <c r="AJ84" s="1" t="str">
        <v>830</v>
      </c>
      <c r="AK84" s="1" t="str">
        <v>201</v>
      </c>
      <c r="AL84" s="1">
        <v>166830</v>
      </c>
    </row>
    <row r="85" spans="4:38" x14ac:dyDescent="0.3">
      <c r="D85" s="2">
        <v>82</v>
      </c>
      <c r="E85" s="2">
        <f>SEARCH("mul",$C$4,E84+1)</f>
        <v>2053</v>
      </c>
      <c r="F85" s="2" t="str">
        <f>MID($C$4,E85,$F$1)</f>
        <v>mul(433,918)why</v>
      </c>
      <c r="G85" s="3">
        <f>SEARCH("(",F85)</f>
        <v>4</v>
      </c>
      <c r="H85" s="3">
        <f>SEARCH(",",F85)</f>
        <v>8</v>
      </c>
      <c r="I85" s="3">
        <f>SEARCH(")",F85)</f>
        <v>12</v>
      </c>
      <c r="J85" s="2" t="str">
        <f>IF(OR(ISERROR(G85),ISERROR(H85),ISERROR(I85)),"CORRUPT!","")</f>
        <v/>
      </c>
      <c r="K85" s="2" t="str">
        <f>IF(J85&lt;&gt;"","",MID(F85, G85+1, H85-G85-1))</f>
        <v>433</v>
      </c>
      <c r="L85" s="2">
        <f>IF(J85&lt;&gt;"","",LEN(K85))</f>
        <v>3</v>
      </c>
      <c r="M85" s="2" t="str">
        <f>IF(J85&lt;&gt;"","",MID(F85, H85+1, I85-H85-1))</f>
        <v>918</v>
      </c>
      <c r="N85" s="2">
        <f>IF(J85&lt;&gt;"","",LEN(M85))</f>
        <v>3</v>
      </c>
      <c r="O85" s="2">
        <f>IF(J85&lt;&gt;"","",K85*M85)</f>
        <v>397494</v>
      </c>
      <c r="R85" s="1" t="str">
        <v>876,585)how()why():when()[@@</v>
      </c>
      <c r="S85" s="1" t="str">
        <v>876,585</v>
      </c>
      <c r="T85" s="1" t="str">
        <v>876</v>
      </c>
      <c r="U85" s="1" t="str">
        <v>585</v>
      </c>
      <c r="V85" s="1">
        <v>512460</v>
      </c>
      <c r="AH85" s="1" t="str">
        <v>382,164) /&gt;select()~]~</v>
      </c>
      <c r="AI85" s="1" t="str">
        <v>382,164</v>
      </c>
      <c r="AJ85" s="1" t="str">
        <v>382</v>
      </c>
      <c r="AK85" s="1" t="str">
        <v>164</v>
      </c>
      <c r="AL85" s="1">
        <v>62648</v>
      </c>
    </row>
    <row r="86" spans="4:38" x14ac:dyDescent="0.3">
      <c r="D86" s="2">
        <v>83</v>
      </c>
      <c r="E86" s="2">
        <f>SEARCH("mul",$C$4,E85+1)</f>
        <v>2094</v>
      </c>
      <c r="F86" s="2" t="str">
        <f>MID($C$4,E86,$F$1)</f>
        <v>mul(144,14/#(&lt;m</v>
      </c>
      <c r="G86" s="3">
        <f>SEARCH("(",F86)</f>
        <v>4</v>
      </c>
      <c r="H86" s="3">
        <f>SEARCH(",",F86)</f>
        <v>8</v>
      </c>
      <c r="I86" s="3" t="e">
        <f>SEARCH(")",F86)</f>
        <v>#VALUE!</v>
      </c>
      <c r="J86" s="2" t="str">
        <f>IF(OR(ISERROR(G86),ISERROR(H86),ISERROR(I86)),"CORRUPT!","")</f>
        <v>CORRUPT!</v>
      </c>
      <c r="K86" s="2" t="str">
        <f>IF(J86&lt;&gt;"","",MID(F86, G86+1, H86-G86-1))</f>
        <v/>
      </c>
      <c r="L86" s="2" t="str">
        <f>IF(J86&lt;&gt;"","",LEN(K86))</f>
        <v/>
      </c>
      <c r="M86" s="2" t="str">
        <f>IF(J86&lt;&gt;"","",MID(F86, H86+1, I86-H86-1))</f>
        <v/>
      </c>
      <c r="N86" s="2" t="str">
        <f>IF(J86&lt;&gt;"","",LEN(M86))</f>
        <v/>
      </c>
      <c r="O86" s="2" t="str">
        <f>IF(J86&lt;&gt;"","",K86*M86)</f>
        <v/>
      </c>
      <c r="R86" s="1" t="str">
        <v>433,918)why()why(),*{who()when()who()</v>
      </c>
      <c r="S86" s="1" t="str">
        <v>433,918</v>
      </c>
      <c r="T86" s="1" t="str">
        <v>433</v>
      </c>
      <c r="U86" s="1" t="str">
        <v>918</v>
      </c>
      <c r="V86" s="1">
        <v>397494</v>
      </c>
      <c r="AH86" s="1" t="str">
        <v>41,659)&lt;'{where():#+)$</v>
      </c>
      <c r="AI86" s="1" t="str">
        <v>41,659</v>
      </c>
      <c r="AJ86" s="1" t="str">
        <v>41</v>
      </c>
      <c r="AK86" s="1" t="str">
        <v>659</v>
      </c>
      <c r="AL86" s="1">
        <v>27019</v>
      </c>
    </row>
    <row r="87" spans="4:38" x14ac:dyDescent="0.3">
      <c r="D87" s="2">
        <v>84</v>
      </c>
      <c r="E87" s="2">
        <f>SEARCH("mul",$C$4,E86+1)</f>
        <v>2108</v>
      </c>
      <c r="F87" s="2" t="str">
        <f>MID($C$4,E87,$F$1)</f>
        <v>mul(656,306)&amp;wh</v>
      </c>
      <c r="G87" s="3">
        <f>SEARCH("(",F87)</f>
        <v>4</v>
      </c>
      <c r="H87" s="3">
        <f>SEARCH(",",F87)</f>
        <v>8</v>
      </c>
      <c r="I87" s="3">
        <f>SEARCH(")",F87)</f>
        <v>12</v>
      </c>
      <c r="J87" s="2" t="str">
        <f>IF(OR(ISERROR(G87),ISERROR(H87),ISERROR(I87)),"CORRUPT!","")</f>
        <v/>
      </c>
      <c r="K87" s="2" t="str">
        <f>IF(J87&lt;&gt;"","",MID(F87, G87+1, H87-G87-1))</f>
        <v>656</v>
      </c>
      <c r="L87" s="2">
        <f>IF(J87&lt;&gt;"","",LEN(K87))</f>
        <v>3</v>
      </c>
      <c r="M87" s="2" t="str">
        <f>IF(J87&lt;&gt;"","",MID(F87, H87+1, I87-H87-1))</f>
        <v>306</v>
      </c>
      <c r="N87" s="2">
        <f>IF(J87&lt;&gt;"","",LEN(M87))</f>
        <v>3</v>
      </c>
      <c r="O87" s="2">
        <f>IF(J87&lt;&gt;"","",K87*M87)</f>
        <v>200736</v>
      </c>
      <c r="R87" s="1" t="str">
        <v>144,14/#(&lt;</v>
      </c>
      <c r="S87" s="1" t="str">
        <v>656,306</v>
      </c>
      <c r="T87" s="1" t="str">
        <v>656</v>
      </c>
      <c r="U87" s="1" t="str">
        <v>306</v>
      </c>
      <c r="V87" s="1">
        <v>200736</v>
      </c>
      <c r="AH87" s="1" t="str">
        <v>447,137)where(120,771)$@why()#</v>
      </c>
      <c r="AI87" s="1" t="str">
        <v>447,137</v>
      </c>
      <c r="AJ87" s="1" t="str">
        <v>447</v>
      </c>
      <c r="AK87" s="1" t="str">
        <v>137</v>
      </c>
      <c r="AL87" s="1">
        <v>61239</v>
      </c>
    </row>
    <row r="88" spans="4:38" x14ac:dyDescent="0.3">
      <c r="D88" s="2">
        <v>85</v>
      </c>
      <c r="E88" s="2">
        <f>SEARCH("mul",$C$4,E87+1)</f>
        <v>2148</v>
      </c>
      <c r="F88" s="2" t="str">
        <f>MID($C$4,E88,$F$1)</f>
        <v>mul(843,135)who</v>
      </c>
      <c r="G88" s="3">
        <f>SEARCH("(",F88)</f>
        <v>4</v>
      </c>
      <c r="H88" s="3">
        <f>SEARCH(",",F88)</f>
        <v>8</v>
      </c>
      <c r="I88" s="3">
        <f>SEARCH(")",F88)</f>
        <v>12</v>
      </c>
      <c r="J88" s="2" t="str">
        <f>IF(OR(ISERROR(G88),ISERROR(H88),ISERROR(I88)),"CORRUPT!","")</f>
        <v/>
      </c>
      <c r="K88" s="2" t="str">
        <f>IF(J88&lt;&gt;"","",MID(F88, G88+1, H88-G88-1))</f>
        <v>843</v>
      </c>
      <c r="L88" s="2">
        <f>IF(J88&lt;&gt;"","",LEN(K88))</f>
        <v>3</v>
      </c>
      <c r="M88" s="2" t="str">
        <f>IF(J88&lt;&gt;"","",MID(F88, H88+1, I88-H88-1))</f>
        <v>135</v>
      </c>
      <c r="N88" s="2">
        <f>IF(J88&lt;&gt;"","",LEN(M88))</f>
        <v>3</v>
      </c>
      <c r="O88" s="2">
        <f>IF(J88&lt;&gt;"","",K88*M88)</f>
        <v>113805</v>
      </c>
      <c r="R88" s="1" t="str">
        <v>656,306)&amp;what()&amp;{*@%select(709,225)/</v>
      </c>
      <c r="S88" s="1" t="str">
        <v>843,135</v>
      </c>
      <c r="T88" s="1" t="str">
        <v>843</v>
      </c>
      <c r="U88" s="1" t="str">
        <v>135</v>
      </c>
      <c r="V88" s="1">
        <v>113805</v>
      </c>
      <c r="AH88" s="1" t="str">
        <v>457,857)&lt;$from()$(who()@?</v>
      </c>
      <c r="AI88" s="1" t="str">
        <v>457,857</v>
      </c>
      <c r="AJ88" s="1" t="str">
        <v>457</v>
      </c>
      <c r="AK88" s="1" t="str">
        <v>857</v>
      </c>
      <c r="AL88" s="1">
        <v>391649</v>
      </c>
    </row>
    <row r="89" spans="4:38" x14ac:dyDescent="0.3">
      <c r="D89" s="2">
        <v>86</v>
      </c>
      <c r="E89" s="2">
        <f>SEARCH("mul",$C$4,E88+1)</f>
        <v>2175</v>
      </c>
      <c r="F89" s="2" t="str">
        <f>MID($C$4,E89,$F$1)</f>
        <v>mul(576,966)^,?</v>
      </c>
      <c r="G89" s="3">
        <f>SEARCH("(",F89)</f>
        <v>4</v>
      </c>
      <c r="H89" s="3">
        <f>SEARCH(",",F89)</f>
        <v>8</v>
      </c>
      <c r="I89" s="3">
        <f>SEARCH(")",F89)</f>
        <v>12</v>
      </c>
      <c r="J89" s="2" t="str">
        <f>IF(OR(ISERROR(G89),ISERROR(H89),ISERROR(I89)),"CORRUPT!","")</f>
        <v/>
      </c>
      <c r="K89" s="2" t="str">
        <f>IF(J89&lt;&gt;"","",MID(F89, G89+1, H89-G89-1))</f>
        <v>576</v>
      </c>
      <c r="L89" s="2">
        <f>IF(J89&lt;&gt;"","",LEN(K89))</f>
        <v>3</v>
      </c>
      <c r="M89" s="2" t="str">
        <f>IF(J89&lt;&gt;"","",MID(F89, H89+1, I89-H89-1))</f>
        <v>966</v>
      </c>
      <c r="N89" s="2">
        <f>IF(J89&lt;&gt;"","",LEN(M89))</f>
        <v>3</v>
      </c>
      <c r="O89" s="2">
        <f>IF(J89&lt;&gt;"","",K89*M89)</f>
        <v>556416</v>
      </c>
      <c r="R89" s="1" t="str">
        <v>843,135)who()$[don't()&lt;</v>
      </c>
      <c r="S89" s="1" t="str">
        <v>576,966</v>
      </c>
      <c r="T89" s="1" t="str">
        <v>576</v>
      </c>
      <c r="U89" s="1" t="str">
        <v>966</v>
      </c>
      <c r="V89" s="1">
        <v>556416</v>
      </c>
      <c r="AH89" s="1" t="str">
        <v>644,914)}</v>
      </c>
      <c r="AI89" s="1" t="str">
        <v>644,914</v>
      </c>
      <c r="AJ89" s="1" t="str">
        <v>644</v>
      </c>
      <c r="AK89" s="1" t="str">
        <v>914</v>
      </c>
      <c r="AL89" s="1">
        <v>588616</v>
      </c>
    </row>
    <row r="90" spans="4:38" x14ac:dyDescent="0.3">
      <c r="D90" s="2">
        <v>87</v>
      </c>
      <c r="E90" s="2">
        <f>SEARCH("mul",$C$4,E89+1)</f>
        <v>2214</v>
      </c>
      <c r="F90" s="2" t="str">
        <f>MID($C$4,E90,$F$1)</f>
        <v>mul(394,492)whe</v>
      </c>
      <c r="G90" s="3">
        <f>SEARCH("(",F90)</f>
        <v>4</v>
      </c>
      <c r="H90" s="3">
        <f>SEARCH(",",F90)</f>
        <v>8</v>
      </c>
      <c r="I90" s="3">
        <f>SEARCH(")",F90)</f>
        <v>12</v>
      </c>
      <c r="J90" s="2" t="str">
        <f>IF(OR(ISERROR(G90),ISERROR(H90),ISERROR(I90)),"CORRUPT!","")</f>
        <v/>
      </c>
      <c r="K90" s="2" t="str">
        <f>IF(J90&lt;&gt;"","",MID(F90, G90+1, H90-G90-1))</f>
        <v>394</v>
      </c>
      <c r="L90" s="2">
        <f>IF(J90&lt;&gt;"","",LEN(K90))</f>
        <v>3</v>
      </c>
      <c r="M90" s="2" t="str">
        <f>IF(J90&lt;&gt;"","",MID(F90, H90+1, I90-H90-1))</f>
        <v>492</v>
      </c>
      <c r="N90" s="2">
        <f>IF(J90&lt;&gt;"","",LEN(M90))</f>
        <v>3</v>
      </c>
      <c r="O90" s="2">
        <f>IF(J90&lt;&gt;"","",K90*M90)</f>
        <v>193848</v>
      </c>
      <c r="R90" s="1" t="str">
        <v>576,966)^,?&gt;don't()@(@{~why()[who()</v>
      </c>
      <c r="S90" s="1" t="str">
        <v>394,492</v>
      </c>
      <c r="T90" s="1" t="str">
        <v>394</v>
      </c>
      <c r="U90" s="1" t="str">
        <v>492</v>
      </c>
      <c r="V90" s="1">
        <v>193848</v>
      </c>
      <c r="AH90" s="1" t="str">
        <v>936,442);{*(why()</v>
      </c>
      <c r="AI90" s="1" t="str">
        <v>936,442</v>
      </c>
      <c r="AJ90" s="1" t="str">
        <v>936</v>
      </c>
      <c r="AK90" s="1" t="str">
        <v>442</v>
      </c>
      <c r="AL90" s="1">
        <v>413712</v>
      </c>
    </row>
    <row r="91" spans="4:38" x14ac:dyDescent="0.3">
      <c r="D91" s="2">
        <v>88</v>
      </c>
      <c r="E91" s="2">
        <f>SEARCH("mul",$C$4,E90+1)</f>
        <v>2234</v>
      </c>
      <c r="F91" s="2" t="str">
        <f>MID($C$4,E91,$F$1)</f>
        <v>mul(508,797)-mu</v>
      </c>
      <c r="G91" s="3">
        <f>SEARCH("(",F91)</f>
        <v>4</v>
      </c>
      <c r="H91" s="3">
        <f>SEARCH(",",F91)</f>
        <v>8</v>
      </c>
      <c r="I91" s="3">
        <f>SEARCH(")",F91)</f>
        <v>12</v>
      </c>
      <c r="J91" s="2" t="str">
        <f>IF(OR(ISERROR(G91),ISERROR(H91),ISERROR(I91)),"CORRUPT!","")</f>
        <v/>
      </c>
      <c r="K91" s="2" t="str">
        <f>IF(J91&lt;&gt;"","",MID(F91, G91+1, H91-G91-1))</f>
        <v>508</v>
      </c>
      <c r="L91" s="2">
        <f>IF(J91&lt;&gt;"","",LEN(K91))</f>
        <v>3</v>
      </c>
      <c r="M91" s="2" t="str">
        <f>IF(J91&lt;&gt;"","",MID(F91, H91+1, I91-H91-1))</f>
        <v>797</v>
      </c>
      <c r="N91" s="2">
        <f>IF(J91&lt;&gt;"","",LEN(M91))</f>
        <v>3</v>
      </c>
      <c r="O91" s="2">
        <f>IF(J91&lt;&gt;"","",K91*M91)</f>
        <v>404876</v>
      </c>
      <c r="R91" s="1" t="str">
        <v>394,492)where()/</v>
      </c>
      <c r="S91" s="1" t="str">
        <v>508,797</v>
      </c>
      <c r="T91" s="1" t="str">
        <v>508</v>
      </c>
      <c r="U91" s="1" t="str">
        <v>797</v>
      </c>
      <c r="V91" s="1">
        <v>404876</v>
      </c>
      <c r="AH91" s="1" t="str">
        <v>804,26);why(),+*how() @:</v>
      </c>
      <c r="AI91" s="1" t="str">
        <v>804,26</v>
      </c>
      <c r="AJ91" s="1" t="str">
        <v>804</v>
      </c>
      <c r="AK91" s="1" t="str">
        <v>26</v>
      </c>
      <c r="AL91" s="1">
        <v>20904</v>
      </c>
    </row>
    <row r="92" spans="4:38" x14ac:dyDescent="0.3">
      <c r="D92" s="2">
        <v>89</v>
      </c>
      <c r="E92" s="2">
        <f>SEARCH("mul",$C$4,E91+1)</f>
        <v>2247</v>
      </c>
      <c r="F92" s="2" t="str">
        <f>MID($C$4,E92,$F$1)</f>
        <v>mul(150,832)+$@</v>
      </c>
      <c r="G92" s="3">
        <f>SEARCH("(",F92)</f>
        <v>4</v>
      </c>
      <c r="H92" s="3">
        <f>SEARCH(",",F92)</f>
        <v>8</v>
      </c>
      <c r="I92" s="3">
        <f>SEARCH(")",F92)</f>
        <v>12</v>
      </c>
      <c r="J92" s="2" t="str">
        <f>IF(OR(ISERROR(G92),ISERROR(H92),ISERROR(I92)),"CORRUPT!","")</f>
        <v/>
      </c>
      <c r="K92" s="2" t="str">
        <f>IF(J92&lt;&gt;"","",MID(F92, G92+1, H92-G92-1))</f>
        <v>150</v>
      </c>
      <c r="L92" s="2">
        <f>IF(J92&lt;&gt;"","",LEN(K92))</f>
        <v>3</v>
      </c>
      <c r="M92" s="2" t="str">
        <f>IF(J92&lt;&gt;"","",MID(F92, H92+1, I92-H92-1))</f>
        <v>832</v>
      </c>
      <c r="N92" s="2">
        <f>IF(J92&lt;&gt;"","",LEN(M92))</f>
        <v>3</v>
      </c>
      <c r="O92" s="2">
        <f>IF(J92&lt;&gt;"","",K92*M92)</f>
        <v>124800</v>
      </c>
      <c r="R92" s="1" t="str">
        <v>508,797)-</v>
      </c>
      <c r="S92" s="1" t="str">
        <v>150,832</v>
      </c>
      <c r="T92" s="1" t="str">
        <v>150</v>
      </c>
      <c r="U92" s="1" t="str">
        <v>832</v>
      </c>
      <c r="V92" s="1">
        <v>124800</v>
      </c>
      <c r="AH92" s="1" t="str">
        <v>668,778)%select() who() (,where()</v>
      </c>
      <c r="AI92" s="1" t="str">
        <v>668,778</v>
      </c>
      <c r="AJ92" s="1" t="str">
        <v>668</v>
      </c>
      <c r="AK92" s="1" t="str">
        <v>778</v>
      </c>
      <c r="AL92" s="1">
        <v>519704</v>
      </c>
    </row>
    <row r="93" spans="4:38" x14ac:dyDescent="0.3">
      <c r="D93" s="2">
        <v>90</v>
      </c>
      <c r="E93" s="2">
        <f>SEARCH("mul",$C$4,E92+1)</f>
        <v>2274</v>
      </c>
      <c r="F93" s="2" t="str">
        <f>MID($C$4,E93,$F$1)</f>
        <v>mul(527,236)&lt;do</v>
      </c>
      <c r="G93" s="3">
        <f>SEARCH("(",F93)</f>
        <v>4</v>
      </c>
      <c r="H93" s="3">
        <f>SEARCH(",",F93)</f>
        <v>8</v>
      </c>
      <c r="I93" s="3">
        <f>SEARCH(")",F93)</f>
        <v>12</v>
      </c>
      <c r="J93" s="2" t="str">
        <f>IF(OR(ISERROR(G93),ISERROR(H93),ISERROR(I93)),"CORRUPT!","")</f>
        <v/>
      </c>
      <c r="K93" s="2" t="str">
        <f>IF(J93&lt;&gt;"","",MID(F93, G93+1, H93-G93-1))</f>
        <v>527</v>
      </c>
      <c r="L93" s="2">
        <f>IF(J93&lt;&gt;"","",LEN(K93))</f>
        <v>3</v>
      </c>
      <c r="M93" s="2" t="str">
        <f>IF(J93&lt;&gt;"","",MID(F93, H93+1, I93-H93-1))</f>
        <v>236</v>
      </c>
      <c r="N93" s="2">
        <f>IF(J93&lt;&gt;"","",LEN(M93))</f>
        <v>3</v>
      </c>
      <c r="O93" s="2">
        <f>IF(J93&lt;&gt;"","",K93*M93)</f>
        <v>124372</v>
      </c>
      <c r="R93" s="1" t="str">
        <v>150,832)+$@why()(why()~</v>
      </c>
      <c r="S93" s="1" t="str">
        <v>527,236</v>
      </c>
      <c r="T93" s="1" t="str">
        <v>527</v>
      </c>
      <c r="U93" s="1" t="str">
        <v>236</v>
      </c>
      <c r="V93" s="1">
        <v>124372</v>
      </c>
      <c r="AH93" s="1" t="str">
        <v>66,974)^)when():$who()</v>
      </c>
      <c r="AI93" s="1" t="str">
        <v>66,974</v>
      </c>
      <c r="AJ93" s="1" t="str">
        <v>66</v>
      </c>
      <c r="AK93" s="1" t="str">
        <v>974</v>
      </c>
      <c r="AL93" s="1">
        <v>64284</v>
      </c>
    </row>
    <row r="94" spans="4:38" x14ac:dyDescent="0.3">
      <c r="D94" s="2">
        <v>91</v>
      </c>
      <c r="E94" s="2">
        <f>SEARCH("mul",$C$4,E93+1)</f>
        <v>2306</v>
      </c>
      <c r="F94" s="2" t="str">
        <f>MID($C$4,E94,$F$1)</f>
        <v>mul(177,945)'mu</v>
      </c>
      <c r="G94" s="3">
        <f>SEARCH("(",F94)</f>
        <v>4</v>
      </c>
      <c r="H94" s="3">
        <f>SEARCH(",",F94)</f>
        <v>8</v>
      </c>
      <c r="I94" s="3">
        <f>SEARCH(")",F94)</f>
        <v>12</v>
      </c>
      <c r="J94" s="2" t="str">
        <f>IF(OR(ISERROR(G94),ISERROR(H94),ISERROR(I94)),"CORRUPT!","")</f>
        <v/>
      </c>
      <c r="K94" s="2" t="str">
        <f>IF(J94&lt;&gt;"","",MID(F94, G94+1, H94-G94-1))</f>
        <v>177</v>
      </c>
      <c r="L94" s="2">
        <f>IF(J94&lt;&gt;"","",LEN(K94))</f>
        <v>3</v>
      </c>
      <c r="M94" s="2" t="str">
        <f>IF(J94&lt;&gt;"","",MID(F94, H94+1, I94-H94-1))</f>
        <v>945</v>
      </c>
      <c r="N94" s="2">
        <f>IF(J94&lt;&gt;"","",LEN(M94))</f>
        <v>3</v>
      </c>
      <c r="O94" s="2">
        <f>IF(J94&lt;&gt;"","",K94*M94)</f>
        <v>167265</v>
      </c>
      <c r="R94" s="1" t="str">
        <v>527,236)&lt;don't()!#{how()*!,!</v>
      </c>
      <c r="S94" s="1" t="str">
        <v>177,945</v>
      </c>
      <c r="T94" s="1" t="str">
        <v>177</v>
      </c>
      <c r="U94" s="1" t="str">
        <v>945</v>
      </c>
      <c r="V94" s="1">
        <v>167265</v>
      </c>
      <c r="AH94" s="1" t="str">
        <v>832,615)#</v>
      </c>
      <c r="AI94" s="1" t="str">
        <v>832,615</v>
      </c>
      <c r="AJ94" s="1" t="str">
        <v>832</v>
      </c>
      <c r="AK94" s="1" t="str">
        <v>615</v>
      </c>
      <c r="AL94" s="1">
        <v>511680</v>
      </c>
    </row>
    <row r="95" spans="4:38" x14ac:dyDescent="0.3">
      <c r="D95" s="2">
        <v>92</v>
      </c>
      <c r="E95" s="2">
        <f>SEARCH("mul",$C$4,E94+1)</f>
        <v>2319</v>
      </c>
      <c r="F95" s="2" t="str">
        <f>MID($C$4,E95,$F$1)</f>
        <v>mul(5,181)#!#'&amp;</v>
      </c>
      <c r="G95" s="3">
        <f>SEARCH("(",F95)</f>
        <v>4</v>
      </c>
      <c r="H95" s="3">
        <f>SEARCH(",",F95)</f>
        <v>6</v>
      </c>
      <c r="I95" s="3">
        <f>SEARCH(")",F95)</f>
        <v>10</v>
      </c>
      <c r="J95" s="2" t="str">
        <f>IF(OR(ISERROR(G95),ISERROR(H95),ISERROR(I95)),"CORRUPT!","")</f>
        <v/>
      </c>
      <c r="K95" s="2" t="str">
        <f>IF(J95&lt;&gt;"","",MID(F95, G95+1, H95-G95-1))</f>
        <v>5</v>
      </c>
      <c r="L95" s="2">
        <f>IF(J95&lt;&gt;"","",LEN(K95))</f>
        <v>1</v>
      </c>
      <c r="M95" s="2" t="str">
        <f>IF(J95&lt;&gt;"","",MID(F95, H95+1, I95-H95-1))</f>
        <v>181</v>
      </c>
      <c r="N95" s="2">
        <f>IF(J95&lt;&gt;"","",LEN(M95))</f>
        <v>3</v>
      </c>
      <c r="O95" s="2">
        <f>IF(J95&lt;&gt;"","",K95*M95)</f>
        <v>905</v>
      </c>
      <c r="R95" s="1" t="str">
        <v>177,945)'</v>
      </c>
      <c r="S95" s="1" t="str">
        <v>5,181</v>
      </c>
      <c r="T95" s="1" t="str">
        <v>5</v>
      </c>
      <c r="U95" s="1" t="str">
        <v>181</v>
      </c>
      <c r="V95" s="1">
        <v>905</v>
      </c>
      <c r="AH95" s="1" t="str">
        <v>572,646)where()how()what()when(673,330)where()when()&amp;/</v>
      </c>
      <c r="AI95" s="1" t="str">
        <v>572,646</v>
      </c>
      <c r="AJ95" s="1" t="str">
        <v>572</v>
      </c>
      <c r="AK95" s="1" t="str">
        <v>646</v>
      </c>
      <c r="AL95" s="1">
        <v>369512</v>
      </c>
    </row>
    <row r="96" spans="4:38" x14ac:dyDescent="0.3">
      <c r="D96" s="2">
        <v>93</v>
      </c>
      <c r="E96" s="2">
        <f>SEARCH("mul",$C$4,E95+1)</f>
        <v>2342</v>
      </c>
      <c r="F96" s="2" t="str">
        <f>MID($C$4,E96,$F$1)</f>
        <v>mul(10,492):%/'</v>
      </c>
      <c r="G96" s="3">
        <f>SEARCH("(",F96)</f>
        <v>4</v>
      </c>
      <c r="H96" s="3">
        <f>SEARCH(",",F96)</f>
        <v>7</v>
      </c>
      <c r="I96" s="3">
        <f>SEARCH(")",F96)</f>
        <v>11</v>
      </c>
      <c r="J96" s="2" t="str">
        <f>IF(OR(ISERROR(G96),ISERROR(H96),ISERROR(I96)),"CORRUPT!","")</f>
        <v/>
      </c>
      <c r="K96" s="2" t="str">
        <f>IF(J96&lt;&gt;"","",MID(F96, G96+1, H96-G96-1))</f>
        <v>10</v>
      </c>
      <c r="L96" s="2">
        <f>IF(J96&lt;&gt;"","",LEN(K96))</f>
        <v>2</v>
      </c>
      <c r="M96" s="2" t="str">
        <f>IF(J96&lt;&gt;"","",MID(F96, H96+1, I96-H96-1))</f>
        <v>492</v>
      </c>
      <c r="N96" s="2">
        <f>IF(J96&lt;&gt;"","",LEN(M96))</f>
        <v>3</v>
      </c>
      <c r="O96" s="2">
        <f>IF(J96&lt;&gt;"","",K96*M96)</f>
        <v>4920</v>
      </c>
      <c r="R96" s="1" t="str">
        <v>5,181)#!#'&amp;?what()&amp;</v>
      </c>
      <c r="S96" s="1" t="str">
        <v>10,492</v>
      </c>
      <c r="T96" s="1" t="str">
        <v>10</v>
      </c>
      <c r="U96" s="1" t="str">
        <v>492</v>
      </c>
      <c r="V96" s="1">
        <v>4920</v>
      </c>
      <c r="AH96" s="1" t="str">
        <v>820,446)$why()where()</v>
      </c>
      <c r="AI96" s="1" t="str">
        <v>820,446</v>
      </c>
      <c r="AJ96" s="1" t="str">
        <v>820</v>
      </c>
      <c r="AK96" s="1" t="str">
        <v>446</v>
      </c>
      <c r="AL96" s="1">
        <v>365720</v>
      </c>
    </row>
    <row r="97" spans="4:38" x14ac:dyDescent="0.3">
      <c r="D97" s="2">
        <v>94</v>
      </c>
      <c r="E97" s="2">
        <f>SEARCH("mul",$C$4,E96+1)</f>
        <v>2358</v>
      </c>
      <c r="F97" s="2" t="str">
        <f>MID($C$4,E97,$F$1)</f>
        <v>mul(822,748){!*</v>
      </c>
      <c r="G97" s="3">
        <f>SEARCH("(",F97)</f>
        <v>4</v>
      </c>
      <c r="H97" s="3">
        <f>SEARCH(",",F97)</f>
        <v>8</v>
      </c>
      <c r="I97" s="3">
        <f>SEARCH(")",F97)</f>
        <v>12</v>
      </c>
      <c r="J97" s="2" t="str">
        <f>IF(OR(ISERROR(G97),ISERROR(H97),ISERROR(I97)),"CORRUPT!","")</f>
        <v/>
      </c>
      <c r="K97" s="2" t="str">
        <f>IF(J97&lt;&gt;"","",MID(F97, G97+1, H97-G97-1))</f>
        <v>822</v>
      </c>
      <c r="L97" s="2">
        <f>IF(J97&lt;&gt;"","",LEN(K97))</f>
        <v>3</v>
      </c>
      <c r="M97" s="2" t="str">
        <f>IF(J97&lt;&gt;"","",MID(F97, H97+1, I97-H97-1))</f>
        <v>748</v>
      </c>
      <c r="N97" s="2">
        <f>IF(J97&lt;&gt;"","",LEN(M97))</f>
        <v>3</v>
      </c>
      <c r="O97" s="2">
        <f>IF(J97&lt;&gt;"","",K97*M97)</f>
        <v>614856</v>
      </c>
      <c r="R97" s="1" t="str">
        <v>10,492):%/'*</v>
      </c>
      <c r="S97" s="1" t="str">
        <v>822,748</v>
      </c>
      <c r="T97" s="1" t="str">
        <v>822</v>
      </c>
      <c r="U97" s="1" t="str">
        <v>748</v>
      </c>
      <c r="V97" s="1">
        <v>614856</v>
      </c>
      <c r="AH97" s="1" t="str">
        <v>86,788)^~what()'</v>
      </c>
      <c r="AI97" s="1" t="str">
        <v>86,788</v>
      </c>
      <c r="AJ97" s="1" t="str">
        <v>86</v>
      </c>
      <c r="AK97" s="1" t="str">
        <v>788</v>
      </c>
      <c r="AL97" s="1">
        <v>67768</v>
      </c>
    </row>
    <row r="98" spans="4:38" x14ac:dyDescent="0.3">
      <c r="D98" s="2">
        <v>95</v>
      </c>
      <c r="E98" s="2">
        <f>SEARCH("mul",$C$4,E97+1)</f>
        <v>2388</v>
      </c>
      <c r="F98" s="2" t="str">
        <f>MID($C$4,E98,$F$1)</f>
        <v>mul(21,920)+do(</v>
      </c>
      <c r="G98" s="3">
        <f>SEARCH("(",F98)</f>
        <v>4</v>
      </c>
      <c r="H98" s="3">
        <f>SEARCH(",",F98)</f>
        <v>7</v>
      </c>
      <c r="I98" s="3">
        <f>SEARCH(")",F98)</f>
        <v>11</v>
      </c>
      <c r="J98" s="2" t="str">
        <f>IF(OR(ISERROR(G98),ISERROR(H98),ISERROR(I98)),"CORRUPT!","")</f>
        <v/>
      </c>
      <c r="K98" s="2" t="str">
        <f>IF(J98&lt;&gt;"","",MID(F98, G98+1, H98-G98-1))</f>
        <v>21</v>
      </c>
      <c r="L98" s="2">
        <f>IF(J98&lt;&gt;"","",LEN(K98))</f>
        <v>2</v>
      </c>
      <c r="M98" s="2" t="str">
        <f>IF(J98&lt;&gt;"","",MID(F98, H98+1, I98-H98-1))</f>
        <v>920</v>
      </c>
      <c r="N98" s="2">
        <f>IF(J98&lt;&gt;"","",LEN(M98))</f>
        <v>3</v>
      </c>
      <c r="O98" s="2">
        <f>IF(J98&lt;&gt;"","",K98*M98)</f>
        <v>19320</v>
      </c>
      <c r="R98" s="1" t="str">
        <v>822,748){!*]who()when()&lt;!&lt;</v>
      </c>
      <c r="S98" s="1" t="str">
        <v>21,920</v>
      </c>
      <c r="T98" s="1" t="str">
        <v>21</v>
      </c>
      <c r="U98" s="1" t="str">
        <v>920</v>
      </c>
      <c r="V98" s="1">
        <v>19320</v>
      </c>
      <c r="AH98" s="1" t="str">
        <v>76,413)&amp;'how()</v>
      </c>
      <c r="AI98" s="1" t="str">
        <v>76,413</v>
      </c>
      <c r="AJ98" s="1" t="str">
        <v>76</v>
      </c>
      <c r="AK98" s="1" t="str">
        <v>413</v>
      </c>
      <c r="AL98" s="1">
        <v>31388</v>
      </c>
    </row>
    <row r="99" spans="4:38" x14ac:dyDescent="0.3">
      <c r="D99" s="2">
        <v>96</v>
      </c>
      <c r="E99" s="2">
        <f>SEARCH("mul",$C$4,E98+1)</f>
        <v>2457</v>
      </c>
      <c r="F99" s="2" t="str">
        <f>MID($C$4,E99,$F$1)</f>
        <v>mul(827,561)how</v>
      </c>
      <c r="G99" s="3">
        <f>SEARCH("(",F99)</f>
        <v>4</v>
      </c>
      <c r="H99" s="3">
        <f>SEARCH(",",F99)</f>
        <v>8</v>
      </c>
      <c r="I99" s="3">
        <f>SEARCH(")",F99)</f>
        <v>12</v>
      </c>
      <c r="J99" s="2" t="str">
        <f>IF(OR(ISERROR(G99),ISERROR(H99),ISERROR(I99)),"CORRUPT!","")</f>
        <v/>
      </c>
      <c r="K99" s="2" t="str">
        <f>IF(J99&lt;&gt;"","",MID(F99, G99+1, H99-G99-1))</f>
        <v>827</v>
      </c>
      <c r="L99" s="2">
        <f>IF(J99&lt;&gt;"","",LEN(K99))</f>
        <v>3</v>
      </c>
      <c r="M99" s="2" t="str">
        <f>IF(J99&lt;&gt;"","",MID(F99, H99+1, I99-H99-1))</f>
        <v>561</v>
      </c>
      <c r="N99" s="2">
        <f>IF(J99&lt;&gt;"","",LEN(M99))</f>
        <v>3</v>
      </c>
      <c r="O99" s="2">
        <f>IF(J99&lt;&gt;"","",K99*M99)</f>
        <v>463947</v>
      </c>
      <c r="R99" s="1" t="str">
        <v>21,920)+do()-who()from(505,694)where()from()$who()where()where()/</v>
      </c>
      <c r="S99" s="1" t="str">
        <v>827,561</v>
      </c>
      <c r="T99" s="1" t="str">
        <v>827</v>
      </c>
      <c r="U99" s="1" t="str">
        <v>561</v>
      </c>
      <c r="V99" s="1">
        <v>463947</v>
      </c>
      <c r="AH99" s="1" t="str">
        <v>616,424)what()select()}from()(/;</v>
      </c>
      <c r="AI99" s="1" t="str">
        <v>616,424</v>
      </c>
      <c r="AJ99" s="1" t="str">
        <v>616</v>
      </c>
      <c r="AK99" s="1" t="str">
        <v>424</v>
      </c>
      <c r="AL99" s="1">
        <v>261184</v>
      </c>
    </row>
    <row r="100" spans="4:38" x14ac:dyDescent="0.3">
      <c r="D100" s="2">
        <v>97</v>
      </c>
      <c r="E100" s="2">
        <f>SEARCH("mul",$C$4,E99+1)</f>
        <v>2480</v>
      </c>
      <c r="F100" s="2" t="str">
        <f>MID($C$4,E100,$F$1)</f>
        <v>mul(770,221)%wh</v>
      </c>
      <c r="G100" s="3">
        <f>SEARCH("(",F100)</f>
        <v>4</v>
      </c>
      <c r="H100" s="3">
        <f>SEARCH(",",F100)</f>
        <v>8</v>
      </c>
      <c r="I100" s="3">
        <f>SEARCH(")",F100)</f>
        <v>12</v>
      </c>
      <c r="J100" s="2" t="str">
        <f>IF(OR(ISERROR(G100),ISERROR(H100),ISERROR(I100)),"CORRUPT!","")</f>
        <v/>
      </c>
      <c r="K100" s="2" t="str">
        <f>IF(J100&lt;&gt;"","",MID(F100, G100+1, H100-G100-1))</f>
        <v>770</v>
      </c>
      <c r="L100" s="2">
        <f>IF(J100&lt;&gt;"","",LEN(K100))</f>
        <v>3</v>
      </c>
      <c r="M100" s="2" t="str">
        <f>IF(J100&lt;&gt;"","",MID(F100, H100+1, I100-H100-1))</f>
        <v>221</v>
      </c>
      <c r="N100" s="2">
        <f>IF(J100&lt;&gt;"","",LEN(M100))</f>
        <v>3</v>
      </c>
      <c r="O100" s="2">
        <f>IF(J100&lt;&gt;"","",K100*M100)</f>
        <v>170170</v>
      </c>
      <c r="R100" s="1" t="str">
        <v>827,561)how()when()</v>
      </c>
      <c r="S100" s="1" t="str">
        <v>770,221</v>
      </c>
      <c r="T100" s="1" t="str">
        <v>770</v>
      </c>
      <c r="U100" s="1" t="str">
        <v>221</v>
      </c>
      <c r="V100" s="1">
        <v>170170</v>
      </c>
      <c r="AH100" s="1" t="str">
        <v>651,36)!{ mul[*</v>
      </c>
      <c r="AI100" s="1" t="str">
        <v>651,36</v>
      </c>
      <c r="AJ100" s="1" t="str">
        <v>651</v>
      </c>
      <c r="AK100" s="1" t="str">
        <v>36</v>
      </c>
      <c r="AL100" s="1">
        <v>23436</v>
      </c>
    </row>
    <row r="101" spans="4:38" x14ac:dyDescent="0.3">
      <c r="D101" s="2">
        <v>98</v>
      </c>
      <c r="E101" s="2">
        <f>SEARCH("mul",$C$4,E100+1)</f>
        <v>2504</v>
      </c>
      <c r="F101" s="2" t="str">
        <f>MID($C$4,E101,$F$1)</f>
        <v>mul(872,151)mul</v>
      </c>
      <c r="G101" s="3">
        <f>SEARCH("(",F101)</f>
        <v>4</v>
      </c>
      <c r="H101" s="3">
        <f>SEARCH(",",F101)</f>
        <v>8</v>
      </c>
      <c r="I101" s="3">
        <f>SEARCH(")",F101)</f>
        <v>12</v>
      </c>
      <c r="J101" s="2" t="str">
        <f>IF(OR(ISERROR(G101),ISERROR(H101),ISERROR(I101)),"CORRUPT!","")</f>
        <v/>
      </c>
      <c r="K101" s="2" t="str">
        <f>IF(J101&lt;&gt;"","",MID(F101, G101+1, H101-G101-1))</f>
        <v>872</v>
      </c>
      <c r="L101" s="2">
        <f>IF(J101&lt;&gt;"","",LEN(K101))</f>
        <v>3</v>
      </c>
      <c r="M101" s="2" t="str">
        <f>IF(J101&lt;&gt;"","",MID(F101, H101+1, I101-H101-1))</f>
        <v>151</v>
      </c>
      <c r="N101" s="2">
        <f>IF(J101&lt;&gt;"","",LEN(M101))</f>
        <v>3</v>
      </c>
      <c r="O101" s="2">
        <f>IF(J101&lt;&gt;"","",K101*M101)</f>
        <v>131672</v>
      </c>
      <c r="R101" s="1" t="str">
        <v>770,221)%when()who()</v>
      </c>
      <c r="S101" s="1" t="str">
        <v>872,151</v>
      </c>
      <c r="T101" s="1" t="str">
        <v>872</v>
      </c>
      <c r="U101" s="1" t="str">
        <v>151</v>
      </c>
      <c r="V101" s="1">
        <v>131672</v>
      </c>
      <c r="AH101" s="1" t="str">
        <v>469,702)who()?;</v>
      </c>
      <c r="AI101" s="1" t="str">
        <v>469,702</v>
      </c>
      <c r="AJ101" s="1" t="str">
        <v>469</v>
      </c>
      <c r="AK101" s="1" t="str">
        <v>702</v>
      </c>
      <c r="AL101" s="1">
        <v>329238</v>
      </c>
    </row>
    <row r="102" spans="4:38" x14ac:dyDescent="0.3">
      <c r="D102" s="2">
        <v>99</v>
      </c>
      <c r="E102" s="2">
        <f>SEARCH("mul",$C$4,E101+1)</f>
        <v>2516</v>
      </c>
      <c r="F102" s="2" t="str">
        <f>MID($C$4,E102,$F$1)</f>
        <v>mul(453,84)['&amp;+</v>
      </c>
      <c r="G102" s="3">
        <f>SEARCH("(",F102)</f>
        <v>4</v>
      </c>
      <c r="H102" s="3">
        <f>SEARCH(",",F102)</f>
        <v>8</v>
      </c>
      <c r="I102" s="3">
        <f>SEARCH(")",F102)</f>
        <v>11</v>
      </c>
      <c r="J102" s="2" t="str">
        <f>IF(OR(ISERROR(G102),ISERROR(H102),ISERROR(I102)),"CORRUPT!","")</f>
        <v/>
      </c>
      <c r="K102" s="2" t="str">
        <f>IF(J102&lt;&gt;"","",MID(F102, G102+1, H102-G102-1))</f>
        <v>453</v>
      </c>
      <c r="L102" s="2">
        <f>IF(J102&lt;&gt;"","",LEN(K102))</f>
        <v>3</v>
      </c>
      <c r="M102" s="2" t="str">
        <f>IF(J102&lt;&gt;"","",MID(F102, H102+1, I102-H102-1))</f>
        <v>84</v>
      </c>
      <c r="N102" s="2">
        <f>IF(J102&lt;&gt;"","",LEN(M102))</f>
        <v>2</v>
      </c>
      <c r="O102" s="2">
        <f>IF(J102&lt;&gt;"","",K102*M102)</f>
        <v>38052</v>
      </c>
      <c r="R102" s="1" t="str">
        <v>872,151)</v>
      </c>
      <c r="S102" s="1" t="str">
        <v>453,84</v>
      </c>
      <c r="T102" s="1" t="str">
        <v>453</v>
      </c>
      <c r="U102" s="1" t="str">
        <v>84</v>
      </c>
      <c r="V102" s="1">
        <v>38052</v>
      </c>
      <c r="AH102" s="1" t="str">
        <v xml:space="preserve">331,879)?*from(54,751)who()#+[ </v>
      </c>
      <c r="AI102" s="1" t="str">
        <v>331,879</v>
      </c>
      <c r="AJ102" s="1" t="str">
        <v>331</v>
      </c>
      <c r="AK102" s="1" t="str">
        <v>879</v>
      </c>
      <c r="AL102" s="1">
        <v>290949</v>
      </c>
    </row>
    <row r="103" spans="4:38" x14ac:dyDescent="0.3">
      <c r="D103" s="2">
        <v>100</v>
      </c>
      <c r="E103" s="2">
        <f>SEARCH("mul",$C$4,E102+1)</f>
        <v>2532</v>
      </c>
      <c r="F103" s="2" t="str">
        <f>MID($C$4,E103,$F$1)</f>
        <v>mul(258,293)@#,</v>
      </c>
      <c r="G103" s="3">
        <f>SEARCH("(",F103)</f>
        <v>4</v>
      </c>
      <c r="H103" s="3">
        <f>SEARCH(",",F103)</f>
        <v>8</v>
      </c>
      <c r="I103" s="3">
        <f>SEARCH(")",F103)</f>
        <v>12</v>
      </c>
      <c r="J103" s="2" t="str">
        <f>IF(OR(ISERROR(G103),ISERROR(H103),ISERROR(I103)),"CORRUPT!","")</f>
        <v/>
      </c>
      <c r="K103" s="2" t="str">
        <f>IF(J103&lt;&gt;"","",MID(F103, G103+1, H103-G103-1))</f>
        <v>258</v>
      </c>
      <c r="L103" s="2">
        <f>IF(J103&lt;&gt;"","",LEN(K103))</f>
        <v>3</v>
      </c>
      <c r="M103" s="2" t="str">
        <f>IF(J103&lt;&gt;"","",MID(F103, H103+1, I103-H103-1))</f>
        <v>293</v>
      </c>
      <c r="N103" s="2">
        <f>IF(J103&lt;&gt;"","",LEN(M103))</f>
        <v>3</v>
      </c>
      <c r="O103" s="2">
        <f>IF(J103&lt;&gt;"","",K103*M103)</f>
        <v>75594</v>
      </c>
      <c r="R103" s="1" t="str">
        <v>453,84)['&amp;+:</v>
      </c>
      <c r="S103" s="1" t="str">
        <v>258,293</v>
      </c>
      <c r="T103" s="1" t="str">
        <v>258</v>
      </c>
      <c r="U103" s="1" t="str">
        <v>293</v>
      </c>
      <c r="V103" s="1">
        <v>75594</v>
      </c>
      <c r="AH103" s="1" t="str">
        <v>182,296)where(607,734){</v>
      </c>
      <c r="AI103" s="1" t="str">
        <v>182,296</v>
      </c>
      <c r="AJ103" s="1" t="str">
        <v>182</v>
      </c>
      <c r="AK103" s="1" t="str">
        <v>296</v>
      </c>
      <c r="AL103" s="1">
        <v>53872</v>
      </c>
    </row>
    <row r="104" spans="4:38" x14ac:dyDescent="0.3">
      <c r="D104" s="2">
        <v>101</v>
      </c>
      <c r="E104" s="2">
        <f>SEARCH("mul",$C$4,E103+1)</f>
        <v>2554</v>
      </c>
      <c r="F104" s="2" t="str">
        <f>MID($C$4,E104,$F$1)</f>
        <v>mul(264,689)mul</v>
      </c>
      <c r="G104" s="3">
        <f>SEARCH("(",F104)</f>
        <v>4</v>
      </c>
      <c r="H104" s="3">
        <f>SEARCH(",",F104)</f>
        <v>8</v>
      </c>
      <c r="I104" s="3">
        <f>SEARCH(")",F104)</f>
        <v>12</v>
      </c>
      <c r="J104" s="2" t="str">
        <f>IF(OR(ISERROR(G104),ISERROR(H104),ISERROR(I104)),"CORRUPT!","")</f>
        <v/>
      </c>
      <c r="K104" s="2" t="str">
        <f>IF(J104&lt;&gt;"","",MID(F104, G104+1, H104-G104-1))</f>
        <v>264</v>
      </c>
      <c r="L104" s="2">
        <f>IF(J104&lt;&gt;"","",LEN(K104))</f>
        <v>3</v>
      </c>
      <c r="M104" s="2" t="str">
        <f>IF(J104&lt;&gt;"","",MID(F104, H104+1, I104-H104-1))</f>
        <v>689</v>
      </c>
      <c r="N104" s="2">
        <f>IF(J104&lt;&gt;"","",LEN(M104))</f>
        <v>3</v>
      </c>
      <c r="O104" s="2">
        <f>IF(J104&lt;&gt;"","",K104*M104)</f>
        <v>181896</v>
      </c>
      <c r="R104" s="1" t="str">
        <v>258,293)@#,where()</v>
      </c>
      <c r="S104" s="1" t="str">
        <v>264,689</v>
      </c>
      <c r="T104" s="1" t="str">
        <v>264</v>
      </c>
      <c r="U104" s="1" t="str">
        <v>689</v>
      </c>
      <c r="V104" s="1">
        <v>181896</v>
      </c>
      <c r="AH104" s="1" t="str">
        <v>920,190) :</v>
      </c>
      <c r="AI104" s="1" t="str">
        <v>920,190</v>
      </c>
      <c r="AJ104" s="1" t="str">
        <v>920</v>
      </c>
      <c r="AK104" s="1" t="str">
        <v>190</v>
      </c>
      <c r="AL104" s="1">
        <v>174800</v>
      </c>
    </row>
    <row r="105" spans="4:38" x14ac:dyDescent="0.3">
      <c r="D105" s="2">
        <v>102</v>
      </c>
      <c r="E105" s="2">
        <f>SEARCH("mul",$C$4,E104+1)</f>
        <v>2566</v>
      </c>
      <c r="F105" s="2" t="str">
        <f>MID($C$4,E105,$F$1)</f>
        <v>mul(90[mul(94,6</v>
      </c>
      <c r="G105" s="3">
        <f>SEARCH("(",F105)</f>
        <v>4</v>
      </c>
      <c r="H105" s="3">
        <f>SEARCH(",",F105)</f>
        <v>14</v>
      </c>
      <c r="I105" s="3" t="e">
        <f>SEARCH(")",F105)</f>
        <v>#VALUE!</v>
      </c>
      <c r="J105" s="2" t="str">
        <f>IF(OR(ISERROR(G105),ISERROR(H105),ISERROR(I105)),"CORRUPT!","")</f>
        <v>CORRUPT!</v>
      </c>
      <c r="K105" s="2" t="str">
        <f>IF(J105&lt;&gt;"","",MID(F105, G105+1, H105-G105-1))</f>
        <v/>
      </c>
      <c r="L105" s="2" t="str">
        <f>IF(J105&lt;&gt;"","",LEN(K105))</f>
        <v/>
      </c>
      <c r="M105" s="2" t="str">
        <f>IF(J105&lt;&gt;"","",MID(F105, H105+1, I105-H105-1))</f>
        <v/>
      </c>
      <c r="N105" s="2" t="str">
        <f>IF(J105&lt;&gt;"","",LEN(M105))</f>
        <v/>
      </c>
      <c r="O105" s="2" t="str">
        <f>IF(J105&lt;&gt;"","",K105*M105)</f>
        <v/>
      </c>
      <c r="R105" s="1" t="str">
        <v>264,689)</v>
      </c>
      <c r="S105" s="1" t="str">
        <v>94,665</v>
      </c>
      <c r="T105" s="1" t="str">
        <v>94</v>
      </c>
      <c r="U105" s="1" t="str">
        <v>665</v>
      </c>
      <c r="V105" s="1">
        <v>62510</v>
      </c>
      <c r="AH105" s="1" t="str">
        <v>660,732)^who()who()*'!</v>
      </c>
      <c r="AI105" s="1" t="str">
        <v>660,732</v>
      </c>
      <c r="AJ105" s="1" t="str">
        <v>660</v>
      </c>
      <c r="AK105" s="1" t="str">
        <v>732</v>
      </c>
      <c r="AL105" s="1">
        <v>483120</v>
      </c>
    </row>
    <row r="106" spans="4:38" x14ac:dyDescent="0.3">
      <c r="D106" s="2">
        <v>103</v>
      </c>
      <c r="E106" s="2">
        <f>SEARCH("mul",$C$4,E105+1)</f>
        <v>2573</v>
      </c>
      <c r="F106" s="2" t="str">
        <f>MID($C$4,E106,$F$1)</f>
        <v>mul(94,665)-who</v>
      </c>
      <c r="G106" s="3">
        <f>SEARCH("(",F106)</f>
        <v>4</v>
      </c>
      <c r="H106" s="3">
        <f>SEARCH(",",F106)</f>
        <v>7</v>
      </c>
      <c r="I106" s="3">
        <f>SEARCH(")",F106)</f>
        <v>11</v>
      </c>
      <c r="J106" s="2" t="str">
        <f>IF(OR(ISERROR(G106),ISERROR(H106),ISERROR(I106)),"CORRUPT!","")</f>
        <v/>
      </c>
      <c r="K106" s="2" t="str">
        <f>IF(J106&lt;&gt;"","",MID(F106, G106+1, H106-G106-1))</f>
        <v>94</v>
      </c>
      <c r="L106" s="2">
        <f>IF(J106&lt;&gt;"","",LEN(K106))</f>
        <v>2</v>
      </c>
      <c r="M106" s="2" t="str">
        <f>IF(J106&lt;&gt;"","",MID(F106, H106+1, I106-H106-1))</f>
        <v>665</v>
      </c>
      <c r="N106" s="2">
        <f>IF(J106&lt;&gt;"","",LEN(M106))</f>
        <v>3</v>
      </c>
      <c r="O106" s="2">
        <f>IF(J106&lt;&gt;"","",K106*M106)</f>
        <v>62510</v>
      </c>
      <c r="R106" s="1" t="str">
        <v>90[</v>
      </c>
      <c r="S106" s="1" t="str">
        <v>324&gt;?!from(</v>
      </c>
      <c r="T106" s="1" t="e">
        <v>#N/A</v>
      </c>
      <c r="U106" s="1" t="e">
        <v>#N/A</v>
      </c>
      <c r="V106" s="1">
        <v>0</v>
      </c>
      <c r="AH106" s="1" t="str">
        <v xml:space="preserve">3,615)+{why(168,603)when(), </v>
      </c>
      <c r="AI106" s="1" t="str">
        <v>3,615</v>
      </c>
      <c r="AJ106" s="1" t="str">
        <v>3</v>
      </c>
      <c r="AK106" s="1" t="str">
        <v>615</v>
      </c>
      <c r="AL106" s="1">
        <v>1845</v>
      </c>
    </row>
    <row r="107" spans="4:38" x14ac:dyDescent="0.3">
      <c r="D107" s="2">
        <v>104</v>
      </c>
      <c r="E107" s="2">
        <f>SEARCH("mul",$C$4,E106+1)</f>
        <v>2611</v>
      </c>
      <c r="F107" s="2" t="str">
        <f>MID($C$4,E107,$F$1)</f>
        <v>mul(324&gt;?!from(</v>
      </c>
      <c r="G107" s="3">
        <f>SEARCH("(",F107)</f>
        <v>4</v>
      </c>
      <c r="H107" s="3" t="e">
        <f>SEARCH(",",F107)</f>
        <v>#VALUE!</v>
      </c>
      <c r="I107" s="3" t="e">
        <f>SEARCH(")",F107)</f>
        <v>#VALUE!</v>
      </c>
      <c r="J107" s="2" t="str">
        <f>IF(OR(ISERROR(G107),ISERROR(H107),ISERROR(I107)),"CORRUPT!","")</f>
        <v>CORRUPT!</v>
      </c>
      <c r="K107" s="2" t="str">
        <f>IF(J107&lt;&gt;"","",MID(F107, G107+1, H107-G107-1))</f>
        <v/>
      </c>
      <c r="L107" s="2" t="str">
        <f>IF(J107&lt;&gt;"","",LEN(K107))</f>
        <v/>
      </c>
      <c r="M107" s="2" t="str">
        <f>IF(J107&lt;&gt;"","",MID(F107, H107+1, I107-H107-1))</f>
        <v/>
      </c>
      <c r="N107" s="2" t="str">
        <f>IF(J107&lt;&gt;"","",LEN(M107))</f>
        <v/>
      </c>
      <c r="O107" s="2" t="str">
        <f>IF(J107&lt;&gt;"","",K107*M107)</f>
        <v/>
      </c>
      <c r="R107" s="1" t="str">
        <v>94,665)-who()don't()what()&gt;!:@!^&amp;!</v>
      </c>
      <c r="S107" s="1" t="str">
        <v>731,184</v>
      </c>
      <c r="T107" s="1" t="str">
        <v>731</v>
      </c>
      <c r="U107" s="1" t="str">
        <v>184</v>
      </c>
      <c r="V107" s="1">
        <v>134504</v>
      </c>
      <c r="AH107" s="1" t="str">
        <v>254,713); where()*from()~ !!#</v>
      </c>
      <c r="AI107" s="1" t="str">
        <v>254,713</v>
      </c>
      <c r="AJ107" s="1" t="str">
        <v>254</v>
      </c>
      <c r="AK107" s="1" t="str">
        <v>713</v>
      </c>
      <c r="AL107" s="1">
        <v>181102</v>
      </c>
    </row>
    <row r="108" spans="4:38" x14ac:dyDescent="0.3">
      <c r="D108" s="2">
        <v>105</v>
      </c>
      <c r="E108" s="2">
        <f>SEARCH("mul",$C$4,E107+1)</f>
        <v>2635</v>
      </c>
      <c r="F108" s="2" t="str">
        <f>MID($C$4,E108,$F$1)</f>
        <v>mul(731,184)#(}</v>
      </c>
      <c r="G108" s="3">
        <f>SEARCH("(",F108)</f>
        <v>4</v>
      </c>
      <c r="H108" s="3">
        <f>SEARCH(",",F108)</f>
        <v>8</v>
      </c>
      <c r="I108" s="3">
        <f>SEARCH(")",F108)</f>
        <v>12</v>
      </c>
      <c r="J108" s="2" t="str">
        <f>IF(OR(ISERROR(G108),ISERROR(H108),ISERROR(I108)),"CORRUPT!","")</f>
        <v/>
      </c>
      <c r="K108" s="2" t="str">
        <f>IF(J108&lt;&gt;"","",MID(F108, G108+1, H108-G108-1))</f>
        <v>731</v>
      </c>
      <c r="L108" s="2">
        <f>IF(J108&lt;&gt;"","",LEN(K108))</f>
        <v>3</v>
      </c>
      <c r="M108" s="2" t="str">
        <f>IF(J108&lt;&gt;"","",MID(F108, H108+1, I108-H108-1))</f>
        <v>184</v>
      </c>
      <c r="N108" s="2">
        <f>IF(J108&lt;&gt;"","",LEN(M108))</f>
        <v>3</v>
      </c>
      <c r="O108" s="2">
        <f>IF(J108&lt;&gt;"","",K108*M108)</f>
        <v>134504</v>
      </c>
      <c r="R108" s="1" t="str">
        <v>324&gt;?!from()where())</v>
      </c>
      <c r="S108" s="1" t="str">
        <v>666,377</v>
      </c>
      <c r="T108" s="1" t="str">
        <v>666</v>
      </c>
      <c r="U108" s="1" t="str">
        <v>377</v>
      </c>
      <c r="V108" s="1">
        <v>251082</v>
      </c>
      <c r="AH108" s="1" t="str">
        <v>897,311)]</v>
      </c>
      <c r="AI108" s="1" t="str">
        <v>897,311</v>
      </c>
      <c r="AJ108" s="1" t="str">
        <v>897</v>
      </c>
      <c r="AK108" s="1" t="str">
        <v>311</v>
      </c>
      <c r="AL108" s="1">
        <v>278967</v>
      </c>
    </row>
    <row r="109" spans="4:38" x14ac:dyDescent="0.3">
      <c r="D109" s="2">
        <v>106</v>
      </c>
      <c r="E109" s="2">
        <f>SEARCH("mul",$C$4,E108+1)</f>
        <v>2656</v>
      </c>
      <c r="F109" s="2" t="str">
        <f>MID($C$4,E109,$F$1)</f>
        <v>mul(666,377)how</v>
      </c>
      <c r="G109" s="3">
        <f>SEARCH("(",F109)</f>
        <v>4</v>
      </c>
      <c r="H109" s="3">
        <f>SEARCH(",",F109)</f>
        <v>8</v>
      </c>
      <c r="I109" s="3">
        <f>SEARCH(")",F109)</f>
        <v>12</v>
      </c>
      <c r="J109" s="2" t="str">
        <f>IF(OR(ISERROR(G109),ISERROR(H109),ISERROR(I109)),"CORRUPT!","")</f>
        <v/>
      </c>
      <c r="K109" s="2" t="str">
        <f>IF(J109&lt;&gt;"","",MID(F109, G109+1, H109-G109-1))</f>
        <v>666</v>
      </c>
      <c r="L109" s="2">
        <f>IF(J109&lt;&gt;"","",LEN(K109))</f>
        <v>3</v>
      </c>
      <c r="M109" s="2" t="str">
        <f>IF(J109&lt;&gt;"","",MID(F109, H109+1, I109-H109-1))</f>
        <v>377</v>
      </c>
      <c r="N109" s="2">
        <f>IF(J109&lt;&gt;"","",LEN(M109))</f>
        <v>3</v>
      </c>
      <c r="O109" s="2">
        <f>IF(J109&lt;&gt;"","",K109*M109)</f>
        <v>251082</v>
      </c>
      <c r="R109" s="1" t="str">
        <v>731,184)#(}who()'</v>
      </c>
      <c r="S109" s="1" t="str">
        <v>346,141</v>
      </c>
      <c r="T109" s="1" t="str">
        <v>346</v>
      </c>
      <c r="U109" s="1" t="str">
        <v>141</v>
      </c>
      <c r="V109" s="1">
        <v>48786</v>
      </c>
      <c r="AH109" s="1" t="str">
        <v>629;what(280,32)&gt;</v>
      </c>
      <c r="AI109" s="1" t="str">
        <v>629;what(280,32</v>
      </c>
      <c r="AJ109" s="1" t="str">
        <v>629;what(280</v>
      </c>
      <c r="AK109" s="1" t="str">
        <v>32</v>
      </c>
      <c r="AL109" s="1">
        <v>0</v>
      </c>
    </row>
    <row r="110" spans="4:38" x14ac:dyDescent="0.3">
      <c r="D110" s="2">
        <v>107</v>
      </c>
      <c r="E110" s="2">
        <f>SEARCH("mul",$C$4,E109+1)</f>
        <v>2675</v>
      </c>
      <c r="F110" s="2" t="str">
        <f>MID($C$4,E110,$F$1)</f>
        <v>mul(346,141)^se</v>
      </c>
      <c r="G110" s="3">
        <f>SEARCH("(",F110)</f>
        <v>4</v>
      </c>
      <c r="H110" s="3">
        <f>SEARCH(",",F110)</f>
        <v>8</v>
      </c>
      <c r="I110" s="3">
        <f>SEARCH(")",F110)</f>
        <v>12</v>
      </c>
      <c r="J110" s="2" t="str">
        <f>IF(OR(ISERROR(G110),ISERROR(H110),ISERROR(I110)),"CORRUPT!","")</f>
        <v/>
      </c>
      <c r="K110" s="2" t="str">
        <f>IF(J110&lt;&gt;"","",MID(F110, G110+1, H110-G110-1))</f>
        <v>346</v>
      </c>
      <c r="L110" s="2">
        <f>IF(J110&lt;&gt;"","",LEN(K110))</f>
        <v>3</v>
      </c>
      <c r="M110" s="2" t="str">
        <f>IF(J110&lt;&gt;"","",MID(F110, H110+1, I110-H110-1))</f>
        <v>141</v>
      </c>
      <c r="N110" s="2">
        <f>IF(J110&lt;&gt;"","",LEN(M110))</f>
        <v>3</v>
      </c>
      <c r="O110" s="2">
        <f>IF(J110&lt;&gt;"","",K110*M110)</f>
        <v>48786</v>
      </c>
      <c r="R110" s="1" t="str">
        <v>666,377)how()(;</v>
      </c>
      <c r="S110" s="1" t="str">
        <v>702,502,^where(</v>
      </c>
      <c r="T110" s="1" t="str">
        <v>702</v>
      </c>
      <c r="U110" s="1" t="str">
        <v>502,^where(</v>
      </c>
      <c r="V110" s="1">
        <v>0</v>
      </c>
      <c r="AH110" s="1" t="str">
        <v>194,563)^&lt;how()when() }#&lt;</v>
      </c>
      <c r="AI110" s="1" t="str">
        <v>194,563</v>
      </c>
      <c r="AJ110" s="1" t="str">
        <v>194</v>
      </c>
      <c r="AK110" s="1" t="str">
        <v>563</v>
      </c>
      <c r="AL110" s="1">
        <v>109222</v>
      </c>
    </row>
    <row r="111" spans="4:38" x14ac:dyDescent="0.3">
      <c r="D111" s="2">
        <v>108</v>
      </c>
      <c r="E111" s="2">
        <f>SEARCH("mul",$C$4,E110+1)</f>
        <v>2708</v>
      </c>
      <c r="F111" s="2" t="str">
        <f>MID($C$4,E111,$F$1)</f>
        <v>mul(702,502,^wh</v>
      </c>
      <c r="G111" s="3">
        <f>SEARCH("(",F111)</f>
        <v>4</v>
      </c>
      <c r="H111" s="3">
        <f>SEARCH(",",F111)</f>
        <v>8</v>
      </c>
      <c r="I111" s="3" t="e">
        <f>SEARCH(")",F111)</f>
        <v>#VALUE!</v>
      </c>
      <c r="J111" s="2" t="str">
        <f>IF(OR(ISERROR(G111),ISERROR(H111),ISERROR(I111)),"CORRUPT!","")</f>
        <v>CORRUPT!</v>
      </c>
      <c r="K111" s="2" t="str">
        <f>IF(J111&lt;&gt;"","",MID(F111, G111+1, H111-G111-1))</f>
        <v/>
      </c>
      <c r="L111" s="2" t="str">
        <f>IF(J111&lt;&gt;"","",LEN(K111))</f>
        <v/>
      </c>
      <c r="M111" s="2" t="str">
        <f>IF(J111&lt;&gt;"","",MID(F111, H111+1, I111-H111-1))</f>
        <v/>
      </c>
      <c r="N111" s="2" t="str">
        <f>IF(J111&lt;&gt;"","",LEN(M111))</f>
        <v/>
      </c>
      <c r="O111" s="2" t="str">
        <f>IF(J111&lt;&gt;"","",K111*M111)</f>
        <v/>
      </c>
      <c r="R111" s="1" t="str">
        <v>346,141)^select()/@[$how()@]?</v>
      </c>
      <c r="S111" s="1" t="str">
        <v>872,308</v>
      </c>
      <c r="T111" s="1" t="str">
        <v>872</v>
      </c>
      <c r="U111" s="1" t="str">
        <v>308</v>
      </c>
      <c r="V111" s="1">
        <v>268576</v>
      </c>
      <c r="AH111" s="1" t="str">
        <v>27,237)?@where()</v>
      </c>
      <c r="AI111" s="1" t="str">
        <v>27,237</v>
      </c>
      <c r="AJ111" s="1" t="str">
        <v>27</v>
      </c>
      <c r="AK111" s="1" t="str">
        <v>237</v>
      </c>
      <c r="AL111" s="1">
        <v>6399</v>
      </c>
    </row>
    <row r="112" spans="4:38" x14ac:dyDescent="0.3">
      <c r="D112" s="2">
        <v>109</v>
      </c>
      <c r="E112" s="2">
        <f>SEARCH("mul",$C$4,E111+1)</f>
        <v>2731</v>
      </c>
      <c r="F112" s="2" t="str">
        <f>MID($C$4,E112,$F$1)</f>
        <v>mul(872,308)+^!</v>
      </c>
      <c r="G112" s="3">
        <f>SEARCH("(",F112)</f>
        <v>4</v>
      </c>
      <c r="H112" s="3">
        <f>SEARCH(",",F112)</f>
        <v>8</v>
      </c>
      <c r="I112" s="3">
        <f>SEARCH(")",F112)</f>
        <v>12</v>
      </c>
      <c r="J112" s="2" t="str">
        <f>IF(OR(ISERROR(G112),ISERROR(H112),ISERROR(I112)),"CORRUPT!","")</f>
        <v/>
      </c>
      <c r="K112" s="2" t="str">
        <f>IF(J112&lt;&gt;"","",MID(F112, G112+1, H112-G112-1))</f>
        <v>872</v>
      </c>
      <c r="L112" s="2">
        <f>IF(J112&lt;&gt;"","",LEN(K112))</f>
        <v>3</v>
      </c>
      <c r="M112" s="2" t="str">
        <f>IF(J112&lt;&gt;"","",MID(F112, H112+1, I112-H112-1))</f>
        <v>308</v>
      </c>
      <c r="N112" s="2">
        <f>IF(J112&lt;&gt;"","",LEN(M112))</f>
        <v>3</v>
      </c>
      <c r="O112" s="2">
        <f>IF(J112&lt;&gt;"","",K112*M112)</f>
        <v>268576</v>
      </c>
      <c r="R112" s="1" t="str">
        <v>702,502,^where()&lt;}[</v>
      </c>
      <c r="S112" s="1" t="str">
        <v>537,974</v>
      </c>
      <c r="T112" s="1" t="str">
        <v>537</v>
      </c>
      <c r="U112" s="1" t="str">
        <v>974</v>
      </c>
      <c r="V112" s="1">
        <v>523038</v>
      </c>
      <c r="AH112" s="1" t="str">
        <v>389,541)}'@when()}(*how()</v>
      </c>
      <c r="AI112" s="1" t="str">
        <v>389,541</v>
      </c>
      <c r="AJ112" s="1" t="str">
        <v>389</v>
      </c>
      <c r="AK112" s="1" t="str">
        <v>541</v>
      </c>
      <c r="AL112" s="1">
        <v>210449</v>
      </c>
    </row>
    <row r="113" spans="4:38" x14ac:dyDescent="0.3">
      <c r="D113" s="2">
        <v>110</v>
      </c>
      <c r="E113" s="2">
        <f>SEARCH("mul",$C$4,E112+1)</f>
        <v>2757</v>
      </c>
      <c r="F113" s="2" t="str">
        <f>MID($C$4,E113,$F$1)</f>
        <v>mul(537,974)%wh</v>
      </c>
      <c r="G113" s="3">
        <f>SEARCH("(",F113)</f>
        <v>4</v>
      </c>
      <c r="H113" s="3">
        <f>SEARCH(",",F113)</f>
        <v>8</v>
      </c>
      <c r="I113" s="3">
        <f>SEARCH(")",F113)</f>
        <v>12</v>
      </c>
      <c r="J113" s="2" t="str">
        <f>IF(OR(ISERROR(G113),ISERROR(H113),ISERROR(I113)),"CORRUPT!","")</f>
        <v/>
      </c>
      <c r="K113" s="2" t="str">
        <f>IF(J113&lt;&gt;"","",MID(F113, G113+1, H113-G113-1))</f>
        <v>537</v>
      </c>
      <c r="L113" s="2">
        <f>IF(J113&lt;&gt;"","",LEN(K113))</f>
        <v>3</v>
      </c>
      <c r="M113" s="2" t="str">
        <f>IF(J113&lt;&gt;"","",MID(F113, H113+1, I113-H113-1))</f>
        <v>974</v>
      </c>
      <c r="N113" s="2">
        <f>IF(J113&lt;&gt;"","",LEN(M113))</f>
        <v>3</v>
      </c>
      <c r="O113" s="2">
        <f>IF(J113&lt;&gt;"","",K113*M113)</f>
        <v>523038</v>
      </c>
      <c r="R113" s="1" t="str">
        <v>872,308)+^!&lt;@from() {:</v>
      </c>
      <c r="S113" s="1" t="str">
        <v>563,805</v>
      </c>
      <c r="T113" s="1" t="str">
        <v>563</v>
      </c>
      <c r="U113" s="1" t="str">
        <v>805</v>
      </c>
      <c r="V113" s="1">
        <v>453215</v>
      </c>
      <c r="AH113" s="1" t="str">
        <v>671,516)</v>
      </c>
      <c r="AI113" s="1" t="str">
        <v>671,516</v>
      </c>
      <c r="AJ113" s="1" t="str">
        <v>671</v>
      </c>
      <c r="AK113" s="1" t="str">
        <v>516</v>
      </c>
      <c r="AL113" s="1">
        <v>346236</v>
      </c>
    </row>
    <row r="114" spans="4:38" x14ac:dyDescent="0.3">
      <c r="D114" s="2">
        <v>111</v>
      </c>
      <c r="E114" s="2">
        <f>SEARCH("mul",$C$4,E113+1)</f>
        <v>2783</v>
      </c>
      <c r="F114" s="2" t="str">
        <f>MID($C$4,E114,$F$1)</f>
        <v>mul(563,805)sel</v>
      </c>
      <c r="G114" s="3">
        <f>SEARCH("(",F114)</f>
        <v>4</v>
      </c>
      <c r="H114" s="3">
        <f>SEARCH(",",F114)</f>
        <v>8</v>
      </c>
      <c r="I114" s="3">
        <f>SEARCH(")",F114)</f>
        <v>12</v>
      </c>
      <c r="J114" s="2" t="str">
        <f>IF(OR(ISERROR(G114),ISERROR(H114),ISERROR(I114)),"CORRUPT!","")</f>
        <v/>
      </c>
      <c r="K114" s="2" t="str">
        <f>IF(J114&lt;&gt;"","",MID(F114, G114+1, H114-G114-1))</f>
        <v>563</v>
      </c>
      <c r="L114" s="2">
        <f>IF(J114&lt;&gt;"","",LEN(K114))</f>
        <v>3</v>
      </c>
      <c r="M114" s="2" t="str">
        <f>IF(J114&lt;&gt;"","",MID(F114, H114+1, I114-H114-1))</f>
        <v>805</v>
      </c>
      <c r="N114" s="2">
        <f>IF(J114&lt;&gt;"","",LEN(M114))</f>
        <v>3</v>
      </c>
      <c r="O114" s="2">
        <f>IF(J114&lt;&gt;"","",K114*M114)</f>
        <v>453215</v>
      </c>
      <c r="R114" s="1" t="str">
        <v>537,974)%when()when()%</v>
      </c>
      <c r="S114" s="1" t="str">
        <v>643,555</v>
      </c>
      <c r="T114" s="1" t="str">
        <v>643</v>
      </c>
      <c r="U114" s="1" t="str">
        <v>555</v>
      </c>
      <c r="V114" s="1">
        <v>356865</v>
      </c>
      <c r="AH114" s="1" t="str">
        <v xml:space="preserve">915,327)(: </v>
      </c>
      <c r="AI114" s="1" t="str">
        <v>915,327</v>
      </c>
      <c r="AJ114" s="1" t="str">
        <v>915</v>
      </c>
      <c r="AK114" s="1" t="str">
        <v>327</v>
      </c>
      <c r="AL114" s="1">
        <v>299205</v>
      </c>
    </row>
    <row r="115" spans="4:38" x14ac:dyDescent="0.3">
      <c r="D115" s="2">
        <v>112</v>
      </c>
      <c r="E115" s="2">
        <f>SEARCH("mul",$C$4,E114+1)</f>
        <v>2813</v>
      </c>
      <c r="F115" s="2" t="str">
        <f>MID($C$4,E115,$F$1)</f>
        <v>mul(643,555))wh</v>
      </c>
      <c r="G115" s="3">
        <f>SEARCH("(",F115)</f>
        <v>4</v>
      </c>
      <c r="H115" s="3">
        <f>SEARCH(",",F115)</f>
        <v>8</v>
      </c>
      <c r="I115" s="3">
        <f>SEARCH(")",F115)</f>
        <v>12</v>
      </c>
      <c r="J115" s="2" t="str">
        <f>IF(OR(ISERROR(G115),ISERROR(H115),ISERROR(I115)),"CORRUPT!","")</f>
        <v/>
      </c>
      <c r="K115" s="2" t="str">
        <f>IF(J115&lt;&gt;"","",MID(F115, G115+1, H115-G115-1))</f>
        <v>643</v>
      </c>
      <c r="L115" s="2">
        <f>IF(J115&lt;&gt;"","",LEN(K115))</f>
        <v>3</v>
      </c>
      <c r="M115" s="2" t="str">
        <f>IF(J115&lt;&gt;"","",MID(F115, H115+1, I115-H115-1))</f>
        <v>555</v>
      </c>
      <c r="N115" s="2">
        <f>IF(J115&lt;&gt;"","",LEN(M115))</f>
        <v>3</v>
      </c>
      <c r="O115" s="2">
        <f>IF(J115&lt;&gt;"","",K115*M115)</f>
        <v>356865</v>
      </c>
      <c r="R115" s="1" t="str">
        <v>563,805)select()&gt;how()&gt;^';</v>
      </c>
      <c r="S115" s="1" t="str">
        <v>656,803</v>
      </c>
      <c r="T115" s="1" t="str">
        <v>656</v>
      </c>
      <c r="U115" s="1" t="str">
        <v>803</v>
      </c>
      <c r="V115" s="1">
        <v>526768</v>
      </c>
      <c r="AH115" s="1" t="str">
        <v>608,270)&lt;%[!}-&amp;</v>
      </c>
      <c r="AI115" s="1" t="str">
        <v>608,270</v>
      </c>
      <c r="AJ115" s="1" t="str">
        <v>608</v>
      </c>
      <c r="AK115" s="1" t="str">
        <v>270</v>
      </c>
      <c r="AL115" s="1">
        <v>164160</v>
      </c>
    </row>
    <row r="116" spans="4:38" x14ac:dyDescent="0.3">
      <c r="D116" s="2">
        <v>113</v>
      </c>
      <c r="E116" s="2">
        <f>SEARCH("mul",$C$4,E115+1)</f>
        <v>2846</v>
      </c>
      <c r="F116" s="2" t="str">
        <f>MID($C$4,E116,$F$1)</f>
        <v>mul(656,803),?$</v>
      </c>
      <c r="G116" s="3">
        <f>SEARCH("(",F116)</f>
        <v>4</v>
      </c>
      <c r="H116" s="3">
        <f>SEARCH(",",F116)</f>
        <v>8</v>
      </c>
      <c r="I116" s="3">
        <f>SEARCH(")",F116)</f>
        <v>12</v>
      </c>
      <c r="J116" s="2" t="str">
        <f>IF(OR(ISERROR(G116),ISERROR(H116),ISERROR(I116)),"CORRUPT!","")</f>
        <v/>
      </c>
      <c r="K116" s="2" t="str">
        <f>IF(J116&lt;&gt;"","",MID(F116, G116+1, H116-G116-1))</f>
        <v>656</v>
      </c>
      <c r="L116" s="2">
        <f>IF(J116&lt;&gt;"","",LEN(K116))</f>
        <v>3</v>
      </c>
      <c r="M116" s="2" t="str">
        <f>IF(J116&lt;&gt;"","",MID(F116, H116+1, I116-H116-1))</f>
        <v>803</v>
      </c>
      <c r="N116" s="2">
        <f>IF(J116&lt;&gt;"","",LEN(M116))</f>
        <v>3</v>
      </c>
      <c r="O116" s="2">
        <f>IF(J116&lt;&gt;"","",K116*M116)</f>
        <v>526768</v>
      </c>
      <c r="R116" s="1" t="str">
        <v>643,555))where(290,606)who()?</v>
      </c>
      <c r="S116" s="1" t="str">
        <v>228,902</v>
      </c>
      <c r="T116" s="1" t="str">
        <v>228</v>
      </c>
      <c r="U116" s="1" t="str">
        <v>902</v>
      </c>
      <c r="V116" s="1">
        <v>205656</v>
      </c>
      <c r="AH116" s="1" t="str">
        <v>328,665)from()&gt;*)how()</v>
      </c>
      <c r="AI116" s="1" t="str">
        <v>328,665</v>
      </c>
      <c r="AJ116" s="1" t="str">
        <v>328</v>
      </c>
      <c r="AK116" s="1" t="str">
        <v>665</v>
      </c>
      <c r="AL116" s="1">
        <v>218120</v>
      </c>
    </row>
    <row r="117" spans="4:38" x14ac:dyDescent="0.3">
      <c r="D117" s="2">
        <v>114</v>
      </c>
      <c r="E117" s="2">
        <f>SEARCH("mul",$C$4,E116+1)</f>
        <v>2873</v>
      </c>
      <c r="F117" s="2" t="str">
        <f>MID($C$4,E117,$F$1)</f>
        <v>mul(228,902)~/f</v>
      </c>
      <c r="G117" s="3">
        <f>SEARCH("(",F117)</f>
        <v>4</v>
      </c>
      <c r="H117" s="3">
        <f>SEARCH(",",F117)</f>
        <v>8</v>
      </c>
      <c r="I117" s="3">
        <f>SEARCH(")",F117)</f>
        <v>12</v>
      </c>
      <c r="J117" s="2" t="str">
        <f>IF(OR(ISERROR(G117),ISERROR(H117),ISERROR(I117)),"CORRUPT!","")</f>
        <v/>
      </c>
      <c r="K117" s="2" t="str">
        <f>IF(J117&lt;&gt;"","",MID(F117, G117+1, H117-G117-1))</f>
        <v>228</v>
      </c>
      <c r="L117" s="2">
        <f>IF(J117&lt;&gt;"","",LEN(K117))</f>
        <v>3</v>
      </c>
      <c r="M117" s="2" t="str">
        <f>IF(J117&lt;&gt;"","",MID(F117, H117+1, I117-H117-1))</f>
        <v>902</v>
      </c>
      <c r="N117" s="2">
        <f>IF(J117&lt;&gt;"","",LEN(M117))</f>
        <v>3</v>
      </c>
      <c r="O117" s="2">
        <f>IF(J117&lt;&gt;"","",K117*M117)</f>
        <v>205656</v>
      </c>
      <c r="R117" s="1" t="str">
        <v xml:space="preserve">656,803),?$/*?when()}@ </v>
      </c>
      <c r="S117" s="1" t="str">
        <v>849,93</v>
      </c>
      <c r="T117" s="1" t="str">
        <v>849</v>
      </c>
      <c r="U117" s="1" t="str">
        <v>93</v>
      </c>
      <c r="V117" s="1">
        <v>78957</v>
      </c>
      <c r="AH117" s="1" t="str">
        <v>836,471)</v>
      </c>
      <c r="AI117" s="1" t="str">
        <v>836,471</v>
      </c>
      <c r="AJ117" s="1" t="str">
        <v>836</v>
      </c>
      <c r="AK117" s="1" t="str">
        <v>471</v>
      </c>
      <c r="AL117" s="1">
        <v>393756</v>
      </c>
    </row>
    <row r="118" spans="4:38" x14ac:dyDescent="0.3">
      <c r="D118" s="2">
        <v>115</v>
      </c>
      <c r="E118" s="2">
        <f>SEARCH("mul",$C$4,E117+1)</f>
        <v>2910</v>
      </c>
      <c r="F118" s="2" t="str">
        <f>MID($C$4,E118,$F$1)</f>
        <v>mul(849,93)~+se</v>
      </c>
      <c r="G118" s="3">
        <f>SEARCH("(",F118)</f>
        <v>4</v>
      </c>
      <c r="H118" s="3">
        <f>SEARCH(",",F118)</f>
        <v>8</v>
      </c>
      <c r="I118" s="3">
        <f>SEARCH(")",F118)</f>
        <v>11</v>
      </c>
      <c r="J118" s="2" t="str">
        <f>IF(OR(ISERROR(G118),ISERROR(H118),ISERROR(I118)),"CORRUPT!","")</f>
        <v/>
      </c>
      <c r="K118" s="2" t="str">
        <f>IF(J118&lt;&gt;"","",MID(F118, G118+1, H118-G118-1))</f>
        <v>849</v>
      </c>
      <c r="L118" s="2">
        <f>IF(J118&lt;&gt;"","",LEN(K118))</f>
        <v>3</v>
      </c>
      <c r="M118" s="2" t="str">
        <f>IF(J118&lt;&gt;"","",MID(F118, H118+1, I118-H118-1))</f>
        <v>93</v>
      </c>
      <c r="N118" s="2">
        <f>IF(J118&lt;&gt;"","",LEN(M118))</f>
        <v>2</v>
      </c>
      <c r="O118" s="2">
        <f>IF(J118&lt;&gt;"","",K118*M118)</f>
        <v>78957</v>
      </c>
      <c r="R118" s="1" t="str">
        <v>228,902)~/from(){where()what()&gt;@~</v>
      </c>
      <c r="S118" s="1" t="str">
        <v>844,117</v>
      </c>
      <c r="T118" s="1" t="str">
        <v>844</v>
      </c>
      <c r="U118" s="1" t="str">
        <v>117</v>
      </c>
      <c r="V118" s="1">
        <v>98748</v>
      </c>
      <c r="AH118" s="1" t="str">
        <v>270,799);(why();&amp;~~</v>
      </c>
      <c r="AI118" s="1" t="str">
        <v>270,799</v>
      </c>
      <c r="AJ118" s="1" t="str">
        <v>270</v>
      </c>
      <c r="AK118" s="1" t="str">
        <v>799</v>
      </c>
      <c r="AL118" s="1">
        <v>215730</v>
      </c>
    </row>
    <row r="119" spans="4:38" x14ac:dyDescent="0.3">
      <c r="D119" s="2">
        <v>116</v>
      </c>
      <c r="E119" s="2">
        <f>SEARCH("mul",$C$4,E118+1)</f>
        <v>2943</v>
      </c>
      <c r="F119" s="2" t="str">
        <f>MID($C$4,E119,$F$1)</f>
        <v>mul(844,117)(wh</v>
      </c>
      <c r="G119" s="3">
        <f>SEARCH("(",F119)</f>
        <v>4</v>
      </c>
      <c r="H119" s="3">
        <f>SEARCH(",",F119)</f>
        <v>8</v>
      </c>
      <c r="I119" s="3">
        <f>SEARCH(")",F119)</f>
        <v>12</v>
      </c>
      <c r="J119" s="2" t="str">
        <f>IF(OR(ISERROR(G119),ISERROR(H119),ISERROR(I119)),"CORRUPT!","")</f>
        <v/>
      </c>
      <c r="K119" s="2" t="str">
        <f>IF(J119&lt;&gt;"","",MID(F119, G119+1, H119-G119-1))</f>
        <v>844</v>
      </c>
      <c r="L119" s="2">
        <f>IF(J119&lt;&gt;"","",LEN(K119))</f>
        <v>3</v>
      </c>
      <c r="M119" s="2" t="str">
        <f>IF(J119&lt;&gt;"","",MID(F119, H119+1, I119-H119-1))</f>
        <v>117</v>
      </c>
      <c r="N119" s="2">
        <f>IF(J119&lt;&gt;"","",LEN(M119))</f>
        <v>3</v>
      </c>
      <c r="O119" s="2">
        <f>IF(J119&lt;&gt;"","",K119*M119)</f>
        <v>98748</v>
      </c>
      <c r="R119" s="1" t="str">
        <v>849,93)~+select()?-^}&lt;don't()</v>
      </c>
      <c r="S119" s="1" t="str">
        <v>24,282</v>
      </c>
      <c r="T119" s="1" t="str">
        <v>24</v>
      </c>
      <c r="U119" s="1" t="str">
        <v>282</v>
      </c>
      <c r="V119" s="1">
        <v>6768</v>
      </c>
      <c r="AH119" s="1" t="str">
        <v>598,772)from()&gt;</v>
      </c>
      <c r="AI119" s="1" t="str">
        <v>598,772</v>
      </c>
      <c r="AJ119" s="1" t="str">
        <v>598</v>
      </c>
      <c r="AK119" s="1" t="str">
        <v>772</v>
      </c>
      <c r="AL119" s="1">
        <v>461656</v>
      </c>
    </row>
    <row r="120" spans="4:38" x14ac:dyDescent="0.3">
      <c r="D120" s="2">
        <v>117</v>
      </c>
      <c r="E120" s="2">
        <f>SEARCH("mul",$C$4,E119+1)</f>
        <v>2970</v>
      </c>
      <c r="F120" s="2" t="str">
        <f>MID($C$4,E120,$F$1)</f>
        <v>mul(24,282)@whe</v>
      </c>
      <c r="G120" s="3">
        <f>SEARCH("(",F120)</f>
        <v>4</v>
      </c>
      <c r="H120" s="3">
        <f>SEARCH(",",F120)</f>
        <v>7</v>
      </c>
      <c r="I120" s="3">
        <f>SEARCH(")",F120)</f>
        <v>11</v>
      </c>
      <c r="J120" s="2" t="str">
        <f>IF(OR(ISERROR(G120),ISERROR(H120),ISERROR(I120)),"CORRUPT!","")</f>
        <v/>
      </c>
      <c r="K120" s="2" t="str">
        <f>IF(J120&lt;&gt;"","",MID(F120, G120+1, H120-G120-1))</f>
        <v>24</v>
      </c>
      <c r="L120" s="2">
        <f>IF(J120&lt;&gt;"","",LEN(K120))</f>
        <v>2</v>
      </c>
      <c r="M120" s="2" t="str">
        <f>IF(J120&lt;&gt;"","",MID(F120, H120+1, I120-H120-1))</f>
        <v>282</v>
      </c>
      <c r="N120" s="2">
        <f>IF(J120&lt;&gt;"","",LEN(M120))</f>
        <v>3</v>
      </c>
      <c r="O120" s="2">
        <f>IF(J120&lt;&gt;"","",K120*M120)</f>
        <v>6768</v>
      </c>
      <c r="R120" s="1" t="str">
        <v>844,117)(when()~,}# /:+</v>
      </c>
      <c r="S120" s="1" t="str">
        <v>886,107</v>
      </c>
      <c r="T120" s="1" t="str">
        <v>886</v>
      </c>
      <c r="U120" s="1" t="str">
        <v>107</v>
      </c>
      <c r="V120" s="1">
        <v>94802</v>
      </c>
      <c r="AH120" s="1" t="str">
        <v>409,297)$</v>
      </c>
      <c r="AI120" s="1" t="str">
        <v>409,297</v>
      </c>
      <c r="AJ120" s="1" t="str">
        <v>409</v>
      </c>
      <c r="AK120" s="1" t="str">
        <v>297</v>
      </c>
      <c r="AL120" s="1">
        <v>121473</v>
      </c>
    </row>
    <row r="121" spans="4:38" x14ac:dyDescent="0.3">
      <c r="D121" s="2">
        <v>118</v>
      </c>
      <c r="E121" s="2">
        <f>SEARCH("mul",$C$4,E120+1)</f>
        <v>3012</v>
      </c>
      <c r="F121" s="2" t="str">
        <f>MID($C$4,E121,$F$1)</f>
        <v>mul(886,107)[#;</v>
      </c>
      <c r="G121" s="3">
        <f>SEARCH("(",F121)</f>
        <v>4</v>
      </c>
      <c r="H121" s="3">
        <f>SEARCH(",",F121)</f>
        <v>8</v>
      </c>
      <c r="I121" s="3">
        <f>SEARCH(")",F121)</f>
        <v>12</v>
      </c>
      <c r="J121" s="2" t="str">
        <f>IF(OR(ISERROR(G121),ISERROR(H121),ISERROR(I121)),"CORRUPT!","")</f>
        <v/>
      </c>
      <c r="K121" s="2" t="str">
        <f>IF(J121&lt;&gt;"","",MID(F121, G121+1, H121-G121-1))</f>
        <v>886</v>
      </c>
      <c r="L121" s="2">
        <f>IF(J121&lt;&gt;"","",LEN(K121))</f>
        <v>3</v>
      </c>
      <c r="M121" s="2" t="str">
        <f>IF(J121&lt;&gt;"","",MID(F121, H121+1, I121-H121-1))</f>
        <v>107</v>
      </c>
      <c r="N121" s="2">
        <f>IF(J121&lt;&gt;"","",LEN(M121))</f>
        <v>3</v>
      </c>
      <c r="O121" s="2">
        <f>IF(J121&lt;&gt;"","",K121*M121)</f>
        <v>94802</v>
      </c>
      <c r="R121" s="1" t="str">
        <v>24,282)@where()~from()($what()what()*&lt;</v>
      </c>
      <c r="S121" s="1" t="str">
        <v>725,121</v>
      </c>
      <c r="T121" s="1" t="str">
        <v>725</v>
      </c>
      <c r="U121" s="1" t="str">
        <v>121</v>
      </c>
      <c r="V121" s="1">
        <v>87725</v>
      </c>
      <c r="AH121" s="1" t="str">
        <v>469,982)</v>
      </c>
      <c r="AI121" s="1" t="str">
        <v>469,982</v>
      </c>
      <c r="AJ121" s="1" t="str">
        <v>469</v>
      </c>
      <c r="AK121" s="1" t="str">
        <v>982</v>
      </c>
      <c r="AL121" s="1">
        <v>460558</v>
      </c>
    </row>
    <row r="122" spans="4:38" x14ac:dyDescent="0.3">
      <c r="D122" s="2">
        <v>119</v>
      </c>
      <c r="E122" s="2">
        <f>SEARCH("mul",$C$4,E121+1)</f>
        <v>3027</v>
      </c>
      <c r="F122" s="2" t="str">
        <f>MID($C$4,E122,$F$1)</f>
        <v>mul(725,121) %[</v>
      </c>
      <c r="G122" s="3">
        <f>SEARCH("(",F122)</f>
        <v>4</v>
      </c>
      <c r="H122" s="3">
        <f>SEARCH(",",F122)</f>
        <v>8</v>
      </c>
      <c r="I122" s="3">
        <f>SEARCH(")",F122)</f>
        <v>12</v>
      </c>
      <c r="J122" s="2" t="str">
        <f>IF(OR(ISERROR(G122),ISERROR(H122),ISERROR(I122)),"CORRUPT!","")</f>
        <v/>
      </c>
      <c r="K122" s="2" t="str">
        <f>IF(J122&lt;&gt;"","",MID(F122, G122+1, H122-G122-1))</f>
        <v>725</v>
      </c>
      <c r="L122" s="2">
        <f>IF(J122&lt;&gt;"","",LEN(K122))</f>
        <v>3</v>
      </c>
      <c r="M122" s="2" t="str">
        <f>IF(J122&lt;&gt;"","",MID(F122, H122+1, I122-H122-1))</f>
        <v>121</v>
      </c>
      <c r="N122" s="2">
        <f>IF(J122&lt;&gt;"","",LEN(M122))</f>
        <v>3</v>
      </c>
      <c r="O122" s="2">
        <f>IF(J122&lt;&gt;"","",K122*M122)</f>
        <v>87725</v>
      </c>
      <c r="R122" s="1" t="str">
        <v>886,107)[#;</v>
      </c>
      <c r="S122" s="1" t="str">
        <v>115,425</v>
      </c>
      <c r="T122" s="1" t="str">
        <v>115</v>
      </c>
      <c r="U122" s="1" t="str">
        <v>425</v>
      </c>
      <c r="V122" s="1">
        <v>48875</v>
      </c>
      <c r="AH122" s="1" t="str">
        <v>457,665):@&gt;{why()&lt;+,</v>
      </c>
      <c r="AI122" s="1" t="str">
        <v>457,665</v>
      </c>
      <c r="AJ122" s="1" t="str">
        <v>457</v>
      </c>
      <c r="AK122" s="1" t="str">
        <v>665</v>
      </c>
      <c r="AL122" s="1">
        <v>303905</v>
      </c>
    </row>
    <row r="123" spans="4:38" x14ac:dyDescent="0.3">
      <c r="D123" s="2">
        <v>120</v>
      </c>
      <c r="E123" s="2">
        <f>SEARCH("mul",$C$4,E122+1)</f>
        <v>3043</v>
      </c>
      <c r="F123" s="2" t="str">
        <f>MID($C$4,E123,$F$1)</f>
        <v>mul(115,425)${w</v>
      </c>
      <c r="G123" s="3">
        <f>SEARCH("(",F123)</f>
        <v>4</v>
      </c>
      <c r="H123" s="3">
        <f>SEARCH(",",F123)</f>
        <v>8</v>
      </c>
      <c r="I123" s="3">
        <f>SEARCH(")",F123)</f>
        <v>12</v>
      </c>
      <c r="J123" s="2" t="str">
        <f>IF(OR(ISERROR(G123),ISERROR(H123),ISERROR(I123)),"CORRUPT!","")</f>
        <v/>
      </c>
      <c r="K123" s="2" t="str">
        <f>IF(J123&lt;&gt;"","",MID(F123, G123+1, H123-G123-1))</f>
        <v>115</v>
      </c>
      <c r="L123" s="2">
        <f>IF(J123&lt;&gt;"","",LEN(K123))</f>
        <v>3</v>
      </c>
      <c r="M123" s="2" t="str">
        <f>IF(J123&lt;&gt;"","",MID(F123, H123+1, I123-H123-1))</f>
        <v>425</v>
      </c>
      <c r="N123" s="2">
        <f>IF(J123&lt;&gt;"","",LEN(M123))</f>
        <v>3</v>
      </c>
      <c r="O123" s="2">
        <f>IF(J123&lt;&gt;"","",K123*M123)</f>
        <v>48875</v>
      </c>
      <c r="R123" s="1" t="str">
        <v>725,121) %[&gt;</v>
      </c>
      <c r="S123" s="1" t="str">
        <v>219,305</v>
      </c>
      <c r="T123" s="1" t="str">
        <v>219</v>
      </c>
      <c r="U123" s="1" t="str">
        <v>305</v>
      </c>
      <c r="V123" s="1">
        <v>66795</v>
      </c>
      <c r="AH123" s="1" t="str">
        <v>293,172select(816,987)}why()</v>
      </c>
      <c r="AI123" s="1" t="str">
        <v>293,172select(816,987</v>
      </c>
      <c r="AJ123" s="1" t="str">
        <v>293</v>
      </c>
      <c r="AK123" s="1" t="str">
        <v>172select(816,987</v>
      </c>
      <c r="AL123" s="1">
        <v>0</v>
      </c>
    </row>
    <row r="124" spans="4:38" x14ac:dyDescent="0.3">
      <c r="D124" s="2">
        <v>121</v>
      </c>
      <c r="E124" s="2">
        <f>SEARCH("mul",$C$4,E123+1)</f>
        <v>3063</v>
      </c>
      <c r="F124" s="2" t="str">
        <f>MID($C$4,E124,$F$1)</f>
        <v>mul(219,305)how</v>
      </c>
      <c r="G124" s="3">
        <f>SEARCH("(",F124)</f>
        <v>4</v>
      </c>
      <c r="H124" s="3">
        <f>SEARCH(",",F124)</f>
        <v>8</v>
      </c>
      <c r="I124" s="3">
        <f>SEARCH(")",F124)</f>
        <v>12</v>
      </c>
      <c r="J124" s="2" t="str">
        <f>IF(OR(ISERROR(G124),ISERROR(H124),ISERROR(I124)),"CORRUPT!","")</f>
        <v/>
      </c>
      <c r="K124" s="2" t="str">
        <f>IF(J124&lt;&gt;"","",MID(F124, G124+1, H124-G124-1))</f>
        <v>219</v>
      </c>
      <c r="L124" s="2">
        <f>IF(J124&lt;&gt;"","",LEN(K124))</f>
        <v>3</v>
      </c>
      <c r="M124" s="2" t="str">
        <f>IF(J124&lt;&gt;"","",MID(F124, H124+1, I124-H124-1))</f>
        <v>305</v>
      </c>
      <c r="N124" s="2">
        <f>IF(J124&lt;&gt;"","",LEN(M124))</f>
        <v>3</v>
      </c>
      <c r="O124" s="2">
        <f>IF(J124&lt;&gt;"","",K124*M124)</f>
        <v>66795</v>
      </c>
      <c r="R124" s="1" t="str">
        <v>115,425)${what()</v>
      </c>
      <c r="S124" s="1" t="str">
        <v>401,458</v>
      </c>
      <c r="T124" s="1" t="str">
        <v>401</v>
      </c>
      <c r="U124" s="1" t="str">
        <v>458</v>
      </c>
      <c r="V124" s="1">
        <v>183658</v>
      </c>
      <c r="AH124" s="1" t="str">
        <v>372,420)why()%</v>
      </c>
      <c r="AI124" s="1" t="str">
        <v>372,420</v>
      </c>
      <c r="AJ124" s="1" t="str">
        <v>372</v>
      </c>
      <c r="AK124" s="1" t="str">
        <v>420</v>
      </c>
      <c r="AL124" s="1">
        <v>156240</v>
      </c>
    </row>
    <row r="125" spans="4:38" x14ac:dyDescent="0.3">
      <c r="D125" s="2">
        <v>122</v>
      </c>
      <c r="E125" s="2">
        <f>SEARCH("mul",$C$4,E124+1)</f>
        <v>3089</v>
      </c>
      <c r="F125" s="2" t="str">
        <f>MID($C$4,E125,$F$1)</f>
        <v>mul(401,458)-fr</v>
      </c>
      <c r="G125" s="3">
        <f>SEARCH("(",F125)</f>
        <v>4</v>
      </c>
      <c r="H125" s="3">
        <f>SEARCH(",",F125)</f>
        <v>8</v>
      </c>
      <c r="I125" s="3">
        <f>SEARCH(")",F125)</f>
        <v>12</v>
      </c>
      <c r="J125" s="2" t="str">
        <f>IF(OR(ISERROR(G125),ISERROR(H125),ISERROR(I125)),"CORRUPT!","")</f>
        <v/>
      </c>
      <c r="K125" s="2" t="str">
        <f>IF(J125&lt;&gt;"","",MID(F125, G125+1, H125-G125-1))</f>
        <v>401</v>
      </c>
      <c r="L125" s="2">
        <f>IF(J125&lt;&gt;"","",LEN(K125))</f>
        <v>3</v>
      </c>
      <c r="M125" s="2" t="str">
        <f>IF(J125&lt;&gt;"","",MID(F125, H125+1, I125-H125-1))</f>
        <v>458</v>
      </c>
      <c r="N125" s="2">
        <f>IF(J125&lt;&gt;"","",LEN(M125))</f>
        <v>3</v>
      </c>
      <c r="O125" s="2">
        <f>IF(J125&lt;&gt;"","",K125*M125)</f>
        <v>183658</v>
      </c>
      <c r="R125" s="1" t="str">
        <v>219,305)how()])from()&lt;</v>
      </c>
      <c r="S125" s="1" t="str">
        <v>92,705</v>
      </c>
      <c r="T125" s="1" t="str">
        <v>92</v>
      </c>
      <c r="U125" s="1" t="str">
        <v>705</v>
      </c>
      <c r="V125" s="1">
        <v>64860</v>
      </c>
      <c r="AH125" s="1" t="str">
        <v>105,735),&lt;]{mul?{$;&gt;from()what()-$;</v>
      </c>
      <c r="AI125" s="1" t="str">
        <v>105,735</v>
      </c>
      <c r="AJ125" s="1" t="str">
        <v>105</v>
      </c>
      <c r="AK125" s="1" t="str">
        <v>735</v>
      </c>
      <c r="AL125" s="1">
        <v>77175</v>
      </c>
    </row>
    <row r="126" spans="4:38" x14ac:dyDescent="0.3">
      <c r="D126" s="2">
        <v>123</v>
      </c>
      <c r="E126" s="2">
        <f>SEARCH("mul",$C$4,E125+1)</f>
        <v>3109</v>
      </c>
      <c r="F126" s="2" t="str">
        <f>MID($C$4,E126,$F$1)</f>
        <v>mul(92,705)}?/,</v>
      </c>
      <c r="G126" s="3">
        <f>SEARCH("(",F126)</f>
        <v>4</v>
      </c>
      <c r="H126" s="3">
        <f>SEARCH(",",F126)</f>
        <v>7</v>
      </c>
      <c r="I126" s="3">
        <f>SEARCH(")",F126)</f>
        <v>11</v>
      </c>
      <c r="J126" s="2" t="str">
        <f>IF(OR(ISERROR(G126),ISERROR(H126),ISERROR(I126)),"CORRUPT!","")</f>
        <v/>
      </c>
      <c r="K126" s="2" t="str">
        <f>IF(J126&lt;&gt;"","",MID(F126, G126+1, H126-G126-1))</f>
        <v>92</v>
      </c>
      <c r="L126" s="2">
        <f>IF(J126&lt;&gt;"","",LEN(K126))</f>
        <v>2</v>
      </c>
      <c r="M126" s="2" t="str">
        <f>IF(J126&lt;&gt;"","",MID(F126, H126+1, I126-H126-1))</f>
        <v>705</v>
      </c>
      <c r="N126" s="2">
        <f>IF(J126&lt;&gt;"","",LEN(M126))</f>
        <v>3</v>
      </c>
      <c r="O126" s="2">
        <f>IF(J126&lt;&gt;"","",K126*M126)</f>
        <v>64860</v>
      </c>
      <c r="R126" s="1" t="str">
        <v>401,458)-from()+</v>
      </c>
      <c r="S126" s="1" t="str">
        <v>398,379</v>
      </c>
      <c r="T126" s="1" t="str">
        <v>398</v>
      </c>
      <c r="U126" s="1" t="str">
        <v>379</v>
      </c>
      <c r="V126" s="1">
        <v>150842</v>
      </c>
      <c r="AH126" s="1" t="str">
        <v>348,90)from()what()~</v>
      </c>
      <c r="AI126" s="1" t="str">
        <v>348,90</v>
      </c>
      <c r="AJ126" s="1" t="str">
        <v>348</v>
      </c>
      <c r="AK126" s="1" t="str">
        <v>90</v>
      </c>
      <c r="AL126" s="1">
        <v>31320</v>
      </c>
    </row>
    <row r="127" spans="4:38" x14ac:dyDescent="0.3">
      <c r="D127" s="2">
        <v>124</v>
      </c>
      <c r="E127" s="2">
        <f>SEARCH("mul",$C$4,E126+1)</f>
        <v>3128</v>
      </c>
      <c r="F127" s="2" t="str">
        <f>MID($C$4,E127,$F$1)</f>
        <v>mul(398,379)why</v>
      </c>
      <c r="G127" s="3">
        <f>SEARCH("(",F127)</f>
        <v>4</v>
      </c>
      <c r="H127" s="3">
        <f>SEARCH(",",F127)</f>
        <v>8</v>
      </c>
      <c r="I127" s="3">
        <f>SEARCH(")",F127)</f>
        <v>12</v>
      </c>
      <c r="J127" s="2" t="str">
        <f>IF(OR(ISERROR(G127),ISERROR(H127),ISERROR(I127)),"CORRUPT!","")</f>
        <v/>
      </c>
      <c r="K127" s="2" t="str">
        <f>IF(J127&lt;&gt;"","",MID(F127, G127+1, H127-G127-1))</f>
        <v>398</v>
      </c>
      <c r="L127" s="2">
        <f>IF(J127&lt;&gt;"","",LEN(K127))</f>
        <v>3</v>
      </c>
      <c r="M127" s="2" t="str">
        <f>IF(J127&lt;&gt;"","",MID(F127, H127+1, I127-H127-1))</f>
        <v>379</v>
      </c>
      <c r="N127" s="2">
        <f>IF(J127&lt;&gt;"","",LEN(M127))</f>
        <v>3</v>
      </c>
      <c r="O127" s="2">
        <f>IF(J127&lt;&gt;"","",K127*M127)</f>
        <v>150842</v>
      </c>
      <c r="R127" s="1" t="str">
        <v>92,705)}?/,(~+^</v>
      </c>
      <c r="S127" s="1" t="str">
        <v>618,341</v>
      </c>
      <c r="T127" s="1" t="str">
        <v>618</v>
      </c>
      <c r="U127" s="1" t="str">
        <v>341</v>
      </c>
      <c r="V127" s="1">
        <v>210738</v>
      </c>
      <c r="AH127" s="1" t="str">
        <v>634,662)^#@&amp;</v>
      </c>
      <c r="AI127" s="1" t="str">
        <v>634,662</v>
      </c>
      <c r="AJ127" s="1" t="str">
        <v>634</v>
      </c>
      <c r="AK127" s="1" t="str">
        <v>662</v>
      </c>
      <c r="AL127" s="1">
        <v>419708</v>
      </c>
    </row>
    <row r="128" spans="4:38" x14ac:dyDescent="0.3">
      <c r="D128" s="2">
        <v>125</v>
      </c>
      <c r="E128" s="2">
        <f>SEARCH("mul",$C$4,E127+1)</f>
        <v>3154</v>
      </c>
      <c r="F128" s="2" t="str">
        <f>MID($C$4,E128,$F$1)</f>
        <v>mul(618,341)how</v>
      </c>
      <c r="G128" s="3">
        <f>SEARCH("(",F128)</f>
        <v>4</v>
      </c>
      <c r="H128" s="3">
        <f>SEARCH(",",F128)</f>
        <v>8</v>
      </c>
      <c r="I128" s="3">
        <f>SEARCH(")",F128)</f>
        <v>12</v>
      </c>
      <c r="J128" s="2" t="str">
        <f>IF(OR(ISERROR(G128),ISERROR(H128),ISERROR(I128)),"CORRUPT!","")</f>
        <v/>
      </c>
      <c r="K128" s="2" t="str">
        <f>IF(J128&lt;&gt;"","",MID(F128, G128+1, H128-G128-1))</f>
        <v>618</v>
      </c>
      <c r="L128" s="2">
        <f>IF(J128&lt;&gt;"","",LEN(K128))</f>
        <v>3</v>
      </c>
      <c r="M128" s="2" t="str">
        <f>IF(J128&lt;&gt;"","",MID(F128, H128+1, I128-H128-1))</f>
        <v>341</v>
      </c>
      <c r="N128" s="2">
        <f>IF(J128&lt;&gt;"","",LEN(M128))</f>
        <v>3</v>
      </c>
      <c r="O128" s="2">
        <f>IF(J128&lt;&gt;"","",K128*M128)</f>
        <v>210738</v>
      </c>
      <c r="R128" s="1" t="str">
        <v>398,379)why()-!why(){}</v>
      </c>
      <c r="S128" s="1" t="str">
        <v>128,74</v>
      </c>
      <c r="T128" s="1" t="str">
        <v>128</v>
      </c>
      <c r="U128" s="1" t="str">
        <v>74</v>
      </c>
      <c r="V128" s="1">
        <v>9472</v>
      </c>
      <c r="AH128" s="1" t="str">
        <v>538,407)'^</v>
      </c>
      <c r="AI128" s="1" t="str">
        <v>538,407</v>
      </c>
      <c r="AJ128" s="1" t="str">
        <v>538</v>
      </c>
      <c r="AK128" s="1" t="str">
        <v>407</v>
      </c>
      <c r="AL128" s="1">
        <v>218966</v>
      </c>
    </row>
    <row r="129" spans="4:38" x14ac:dyDescent="0.3">
      <c r="D129" s="2">
        <v>126</v>
      </c>
      <c r="E129" s="2">
        <f>SEARCH("mul",$C$4,E128+1)</f>
        <v>3187</v>
      </c>
      <c r="F129" s="2" t="str">
        <f>MID($C$4,E129,$F$1)</f>
        <v>mul(128,74)*- &amp;</v>
      </c>
      <c r="G129" s="3">
        <f>SEARCH("(",F129)</f>
        <v>4</v>
      </c>
      <c r="H129" s="3">
        <f>SEARCH(",",F129)</f>
        <v>8</v>
      </c>
      <c r="I129" s="3">
        <f>SEARCH(")",F129)</f>
        <v>11</v>
      </c>
      <c r="J129" s="2" t="str">
        <f>IF(OR(ISERROR(G129),ISERROR(H129),ISERROR(I129)),"CORRUPT!","")</f>
        <v/>
      </c>
      <c r="K129" s="2" t="str">
        <f>IF(J129&lt;&gt;"","",MID(F129, G129+1, H129-G129-1))</f>
        <v>128</v>
      </c>
      <c r="L129" s="2">
        <f>IF(J129&lt;&gt;"","",LEN(K129))</f>
        <v>3</v>
      </c>
      <c r="M129" s="2" t="str">
        <f>IF(J129&lt;&gt;"","",MID(F129, H129+1, I129-H129-1))</f>
        <v>74</v>
      </c>
      <c r="N129" s="2">
        <f>IF(J129&lt;&gt;"","",LEN(M129))</f>
        <v>2</v>
      </c>
      <c r="O129" s="2">
        <f>IF(J129&lt;&gt;"","",K129*M129)</f>
        <v>9472</v>
      </c>
      <c r="R129" s="1" t="str">
        <v>618,341)how(818,559)'%}~+}'!&lt;</v>
      </c>
      <c r="S129" s="1" t="str">
        <v>830,201</v>
      </c>
      <c r="T129" s="1" t="str">
        <v>830</v>
      </c>
      <c r="U129" s="1" t="str">
        <v>201</v>
      </c>
      <c r="V129" s="1">
        <v>166830</v>
      </c>
      <c r="AH129" s="1" t="str">
        <v>84,106)'},#^where()%</v>
      </c>
      <c r="AI129" s="1" t="str">
        <v>84,106</v>
      </c>
      <c r="AJ129" s="1" t="str">
        <v>84</v>
      </c>
      <c r="AK129" s="1" t="str">
        <v>106</v>
      </c>
      <c r="AL129" s="1">
        <v>8904</v>
      </c>
    </row>
    <row r="130" spans="4:38" x14ac:dyDescent="0.3">
      <c r="D130" s="2">
        <v>127</v>
      </c>
      <c r="E130" s="2">
        <f>SEARCH("mul",$C$4,E129+1)</f>
        <v>3205</v>
      </c>
      <c r="F130" s="2" t="str">
        <f>MID($C$4,E130,$F$1)</f>
        <v>mul(830,201)$wh</v>
      </c>
      <c r="G130" s="3">
        <f>SEARCH("(",F130)</f>
        <v>4</v>
      </c>
      <c r="H130" s="3">
        <f>SEARCH(",",F130)</f>
        <v>8</v>
      </c>
      <c r="I130" s="3">
        <f>SEARCH(")",F130)</f>
        <v>12</v>
      </c>
      <c r="J130" s="2" t="str">
        <f>IF(OR(ISERROR(G130),ISERROR(H130),ISERROR(I130)),"CORRUPT!","")</f>
        <v/>
      </c>
      <c r="K130" s="2" t="str">
        <f>IF(J130&lt;&gt;"","",MID(F130, G130+1, H130-G130-1))</f>
        <v>830</v>
      </c>
      <c r="L130" s="2">
        <f>IF(J130&lt;&gt;"","",LEN(K130))</f>
        <v>3</v>
      </c>
      <c r="M130" s="2" t="str">
        <f>IF(J130&lt;&gt;"","",MID(F130, H130+1, I130-H130-1))</f>
        <v>201</v>
      </c>
      <c r="N130" s="2">
        <f>IF(J130&lt;&gt;"","",LEN(M130))</f>
        <v>3</v>
      </c>
      <c r="O130" s="2">
        <f>IF(J130&lt;&gt;"","",K130*M130)</f>
        <v>166830</v>
      </c>
      <c r="R130" s="1" t="str">
        <v>128,74)*- &amp;}+[</v>
      </c>
      <c r="S130" s="1" t="str">
        <v>382,164</v>
      </c>
      <c r="T130" s="1" t="str">
        <v>382</v>
      </c>
      <c r="U130" s="1" t="str">
        <v>164</v>
      </c>
      <c r="V130" s="1">
        <v>62648</v>
      </c>
      <c r="AH130" s="1" t="str">
        <v>105,225)-what()/how()/from()</v>
      </c>
      <c r="AI130" s="1" t="str">
        <v>105,225</v>
      </c>
      <c r="AJ130" s="1" t="str">
        <v>105</v>
      </c>
      <c r="AK130" s="1" t="str">
        <v>225</v>
      </c>
      <c r="AL130" s="1">
        <v>23625</v>
      </c>
    </row>
    <row r="131" spans="4:38" x14ac:dyDescent="0.3">
      <c r="D131" s="2">
        <v>128</v>
      </c>
      <c r="E131" s="2">
        <f>SEARCH("mul",$C$4,E130+1)</f>
        <v>3224</v>
      </c>
      <c r="F131" s="2" t="str">
        <f>MID($C$4,E131,$F$1)</f>
        <v>mul(382,164) /&gt;</v>
      </c>
      <c r="G131" s="3">
        <f>SEARCH("(",F131)</f>
        <v>4</v>
      </c>
      <c r="H131" s="3">
        <f>SEARCH(",",F131)</f>
        <v>8</v>
      </c>
      <c r="I131" s="3">
        <f>SEARCH(")",F131)</f>
        <v>12</v>
      </c>
      <c r="J131" s="2" t="str">
        <f>IF(OR(ISERROR(G131),ISERROR(H131),ISERROR(I131)),"CORRUPT!","")</f>
        <v/>
      </c>
      <c r="K131" s="2" t="str">
        <f>IF(J131&lt;&gt;"","",MID(F131, G131+1, H131-G131-1))</f>
        <v>382</v>
      </c>
      <c r="L131" s="2">
        <f>IF(J131&lt;&gt;"","",LEN(K131))</f>
        <v>3</v>
      </c>
      <c r="M131" s="2" t="str">
        <f>IF(J131&lt;&gt;"","",MID(F131, H131+1, I131-H131-1))</f>
        <v>164</v>
      </c>
      <c r="N131" s="2">
        <f>IF(J131&lt;&gt;"","",LEN(M131))</f>
        <v>3</v>
      </c>
      <c r="O131" s="2">
        <f>IF(J131&lt;&gt;"","",K131*M131)</f>
        <v>62648</v>
      </c>
      <c r="R131" s="1" t="str">
        <v>830,201)$when()</v>
      </c>
      <c r="S131" s="1" t="str">
        <v>41,659</v>
      </c>
      <c r="T131" s="1" t="str">
        <v>41</v>
      </c>
      <c r="U131" s="1" t="str">
        <v>659</v>
      </c>
      <c r="V131" s="1">
        <v>27019</v>
      </c>
      <c r="AH131" s="1" t="str">
        <v>49,421)@$)[)?why()'#}</v>
      </c>
      <c r="AI131" s="1" t="str">
        <v>49,421</v>
      </c>
      <c r="AJ131" s="1" t="str">
        <v>49</v>
      </c>
      <c r="AK131" s="1" t="str">
        <v>421</v>
      </c>
      <c r="AL131" s="1">
        <v>20629</v>
      </c>
    </row>
    <row r="132" spans="4:38" x14ac:dyDescent="0.3">
      <c r="D132" s="2">
        <v>129</v>
      </c>
      <c r="E132" s="2">
        <f>SEARCH("mul",$C$4,E131+1)</f>
        <v>3250</v>
      </c>
      <c r="F132" s="2" t="str">
        <f>MID($C$4,E132,$F$1)</f>
        <v>mul(41,659)&lt;'{w</v>
      </c>
      <c r="G132" s="3">
        <f>SEARCH("(",F132)</f>
        <v>4</v>
      </c>
      <c r="H132" s="3">
        <f>SEARCH(",",F132)</f>
        <v>7</v>
      </c>
      <c r="I132" s="3">
        <f>SEARCH(")",F132)</f>
        <v>11</v>
      </c>
      <c r="J132" s="2" t="str">
        <f>IF(OR(ISERROR(G132),ISERROR(H132),ISERROR(I132)),"CORRUPT!","")</f>
        <v/>
      </c>
      <c r="K132" s="2" t="str">
        <f>IF(J132&lt;&gt;"","",MID(F132, G132+1, H132-G132-1))</f>
        <v>41</v>
      </c>
      <c r="L132" s="2">
        <f>IF(J132&lt;&gt;"","",LEN(K132))</f>
        <v>2</v>
      </c>
      <c r="M132" s="2" t="str">
        <f>IF(J132&lt;&gt;"","",MID(F132, H132+1, I132-H132-1))</f>
        <v>659</v>
      </c>
      <c r="N132" s="2">
        <f>IF(J132&lt;&gt;"","",LEN(M132))</f>
        <v>3</v>
      </c>
      <c r="O132" s="2">
        <f>IF(J132&lt;&gt;"","",K132*M132)</f>
        <v>27019</v>
      </c>
      <c r="R132" s="1" t="str">
        <v>382,164) /&gt;select()~]~</v>
      </c>
      <c r="S132" s="1" t="str">
        <v>447,137</v>
      </c>
      <c r="T132" s="1" t="str">
        <v>447</v>
      </c>
      <c r="U132" s="1" t="str">
        <v>137</v>
      </c>
      <c r="V132" s="1">
        <v>61239</v>
      </c>
      <c r="AH132" s="1" t="str">
        <v>707,127)@when() &amp;(</v>
      </c>
      <c r="AI132" s="1" t="str">
        <v>707,127</v>
      </c>
      <c r="AJ132" s="1" t="str">
        <v>707</v>
      </c>
      <c r="AK132" s="1" t="str">
        <v>127</v>
      </c>
      <c r="AL132" s="1">
        <v>89789</v>
      </c>
    </row>
    <row r="133" spans="4:38" x14ac:dyDescent="0.3">
      <c r="D133" s="2">
        <v>130</v>
      </c>
      <c r="E133" s="2">
        <f>SEARCH("mul",$C$4,E132+1)</f>
        <v>3276</v>
      </c>
      <c r="F133" s="2" t="str">
        <f>MID($C$4,E133,$F$1)</f>
        <v>mul(447,137)whe</v>
      </c>
      <c r="G133" s="3">
        <f>SEARCH("(",F133)</f>
        <v>4</v>
      </c>
      <c r="H133" s="3">
        <f>SEARCH(",",F133)</f>
        <v>8</v>
      </c>
      <c r="I133" s="3">
        <f>SEARCH(")",F133)</f>
        <v>12</v>
      </c>
      <c r="J133" s="2" t="str">
        <f>IF(OR(ISERROR(G133),ISERROR(H133),ISERROR(I133)),"CORRUPT!","")</f>
        <v/>
      </c>
      <c r="K133" s="2" t="str">
        <f>IF(J133&lt;&gt;"","",MID(F133, G133+1, H133-G133-1))</f>
        <v>447</v>
      </c>
      <c r="L133" s="2">
        <f>IF(J133&lt;&gt;"","",LEN(K133))</f>
        <v>3</v>
      </c>
      <c r="M133" s="2" t="str">
        <f>IF(J133&lt;&gt;"","",MID(F133, H133+1, I133-H133-1))</f>
        <v>137</v>
      </c>
      <c r="N133" s="2">
        <f>IF(J133&lt;&gt;"","",LEN(M133))</f>
        <v>3</v>
      </c>
      <c r="O133" s="2">
        <f>IF(J133&lt;&gt;"","",K133*M133)</f>
        <v>61239</v>
      </c>
      <c r="R133" s="1" t="str">
        <v>41,659)&lt;'{where():#+)$</v>
      </c>
      <c r="S133" s="1" t="str">
        <v>457,857</v>
      </c>
      <c r="T133" s="1" t="str">
        <v>457</v>
      </c>
      <c r="U133" s="1" t="str">
        <v>857</v>
      </c>
      <c r="V133" s="1">
        <v>391649</v>
      </c>
      <c r="AH133" s="1" t="str">
        <v>732,645)'from()'*when()why()from()[who(850,51)?</v>
      </c>
      <c r="AI133" s="1" t="str">
        <v>732,645</v>
      </c>
      <c r="AJ133" s="1" t="str">
        <v>732</v>
      </c>
      <c r="AK133" s="1" t="str">
        <v>645</v>
      </c>
      <c r="AL133" s="1">
        <v>472140</v>
      </c>
    </row>
    <row r="134" spans="4:38" x14ac:dyDescent="0.3">
      <c r="D134" s="2">
        <v>131</v>
      </c>
      <c r="E134" s="2">
        <f>SEARCH("mul",$C$4,E133+1)</f>
        <v>3310</v>
      </c>
      <c r="F134" s="2" t="str">
        <f>MID($C$4,E134,$F$1)</f>
        <v>mul(457,857)&lt;$f</v>
      </c>
      <c r="G134" s="3">
        <f>SEARCH("(",F134)</f>
        <v>4</v>
      </c>
      <c r="H134" s="3">
        <f>SEARCH(",",F134)</f>
        <v>8</v>
      </c>
      <c r="I134" s="3">
        <f>SEARCH(")",F134)</f>
        <v>12</v>
      </c>
      <c r="J134" s="2" t="str">
        <f>IF(OR(ISERROR(G134),ISERROR(H134),ISERROR(I134)),"CORRUPT!","")</f>
        <v/>
      </c>
      <c r="K134" s="2" t="str">
        <f>IF(J134&lt;&gt;"","",MID(F134, G134+1, H134-G134-1))</f>
        <v>457</v>
      </c>
      <c r="L134" s="2">
        <f>IF(J134&lt;&gt;"","",LEN(K134))</f>
        <v>3</v>
      </c>
      <c r="M134" s="2" t="str">
        <f>IF(J134&lt;&gt;"","",MID(F134, H134+1, I134-H134-1))</f>
        <v>857</v>
      </c>
      <c r="N134" s="2">
        <f>IF(J134&lt;&gt;"","",LEN(M134))</f>
        <v>3</v>
      </c>
      <c r="O134" s="2">
        <f>IF(J134&lt;&gt;"","",K134*M134)</f>
        <v>391649</v>
      </c>
      <c r="R134" s="1" t="str">
        <v>447,137)where(120,771)$@why()#</v>
      </c>
      <c r="S134" s="1" t="str">
        <v>644,914</v>
      </c>
      <c r="T134" s="1" t="str">
        <v>644</v>
      </c>
      <c r="U134" s="1" t="str">
        <v>914</v>
      </c>
      <c r="V134" s="1">
        <v>588616</v>
      </c>
      <c r="AH134" s="1" t="str">
        <v>566,427)how()&gt;who()]',from()'how()why()</v>
      </c>
      <c r="AI134" s="1" t="str">
        <v>566,427</v>
      </c>
      <c r="AJ134" s="1" t="str">
        <v>566</v>
      </c>
      <c r="AK134" s="1" t="str">
        <v>427</v>
      </c>
      <c r="AL134" s="1">
        <v>241682</v>
      </c>
    </row>
    <row r="135" spans="4:38" x14ac:dyDescent="0.3">
      <c r="D135" s="2">
        <v>132</v>
      </c>
      <c r="E135" s="2">
        <f>SEARCH("mul",$C$4,E134+1)</f>
        <v>3339</v>
      </c>
      <c r="F135" s="2" t="str">
        <f>MID($C$4,E135,$F$1)</f>
        <v>mul(644,914)}mu</v>
      </c>
      <c r="G135" s="3">
        <f>SEARCH("(",F135)</f>
        <v>4</v>
      </c>
      <c r="H135" s="3">
        <f>SEARCH(",",F135)</f>
        <v>8</v>
      </c>
      <c r="I135" s="3">
        <f>SEARCH(")",F135)</f>
        <v>12</v>
      </c>
      <c r="J135" s="2" t="str">
        <f>IF(OR(ISERROR(G135),ISERROR(H135),ISERROR(I135)),"CORRUPT!","")</f>
        <v/>
      </c>
      <c r="K135" s="2" t="str">
        <f>IF(J135&lt;&gt;"","",MID(F135, G135+1, H135-G135-1))</f>
        <v>644</v>
      </c>
      <c r="L135" s="2">
        <f>IF(J135&lt;&gt;"","",LEN(K135))</f>
        <v>3</v>
      </c>
      <c r="M135" s="2" t="str">
        <f>IF(J135&lt;&gt;"","",MID(F135, H135+1, I135-H135-1))</f>
        <v>914</v>
      </c>
      <c r="N135" s="2">
        <f>IF(J135&lt;&gt;"","",LEN(M135))</f>
        <v>3</v>
      </c>
      <c r="O135" s="2">
        <f>IF(J135&lt;&gt;"","",K135*M135)</f>
        <v>588616</v>
      </c>
      <c r="R135" s="1" t="str">
        <v>457,857)&lt;$from()$(who()@?</v>
      </c>
      <c r="S135" s="1" t="str">
        <v>936,442</v>
      </c>
      <c r="T135" s="1" t="str">
        <v>936</v>
      </c>
      <c r="U135" s="1" t="str">
        <v>442</v>
      </c>
      <c r="V135" s="1">
        <v>413712</v>
      </c>
      <c r="AH135" s="1" t="str">
        <v>42,665)%'# [}</v>
      </c>
      <c r="AI135" s="1" t="str">
        <v>42,665</v>
      </c>
      <c r="AJ135" s="1" t="str">
        <v>42</v>
      </c>
      <c r="AK135" s="1" t="str">
        <v>665</v>
      </c>
      <c r="AL135" s="1">
        <v>27930</v>
      </c>
    </row>
    <row r="136" spans="4:38" x14ac:dyDescent="0.3">
      <c r="D136" s="2">
        <v>133</v>
      </c>
      <c r="E136" s="2">
        <f>SEARCH("mul",$C$4,E135+1)</f>
        <v>3352</v>
      </c>
      <c r="F136" s="2" t="str">
        <f>MID($C$4,E136,$F$1)</f>
        <v>mul(936,442);{*</v>
      </c>
      <c r="G136" s="3">
        <f>SEARCH("(",F136)</f>
        <v>4</v>
      </c>
      <c r="H136" s="3">
        <f>SEARCH(",",F136)</f>
        <v>8</v>
      </c>
      <c r="I136" s="3">
        <f>SEARCH(")",F136)</f>
        <v>12</v>
      </c>
      <c r="J136" s="2" t="str">
        <f>IF(OR(ISERROR(G136),ISERROR(H136),ISERROR(I136)),"CORRUPT!","")</f>
        <v/>
      </c>
      <c r="K136" s="2" t="str">
        <f>IF(J136&lt;&gt;"","",MID(F136, G136+1, H136-G136-1))</f>
        <v>936</v>
      </c>
      <c r="L136" s="2">
        <f>IF(J136&lt;&gt;"","",LEN(K136))</f>
        <v>3</v>
      </c>
      <c r="M136" s="2" t="str">
        <f>IF(J136&lt;&gt;"","",MID(F136, H136+1, I136-H136-1))</f>
        <v>442</v>
      </c>
      <c r="N136" s="2">
        <f>IF(J136&lt;&gt;"","",LEN(M136))</f>
        <v>3</v>
      </c>
      <c r="O136" s="2">
        <f>IF(J136&lt;&gt;"","",K136*M136)</f>
        <v>413712</v>
      </c>
      <c r="R136" s="1" t="str">
        <v>644,914)}</v>
      </c>
      <c r="S136" s="1" t="str">
        <v>804,26</v>
      </c>
      <c r="T136" s="1" t="str">
        <v>804</v>
      </c>
      <c r="U136" s="1" t="str">
        <v>26</v>
      </c>
      <c r="V136" s="1">
        <v>20904</v>
      </c>
      <c r="AH136" s="1" t="str">
        <v>684,645){{%'</v>
      </c>
      <c r="AI136" s="1" t="str">
        <v>684,645</v>
      </c>
      <c r="AJ136" s="1" t="str">
        <v>684</v>
      </c>
      <c r="AK136" s="1" t="str">
        <v>645</v>
      </c>
      <c r="AL136" s="1">
        <v>441180</v>
      </c>
    </row>
    <row r="137" spans="4:38" x14ac:dyDescent="0.3">
      <c r="D137" s="2">
        <v>134</v>
      </c>
      <c r="E137" s="2">
        <f>SEARCH("mul",$C$4,E136+1)</f>
        <v>3373</v>
      </c>
      <c r="F137" s="2" t="str">
        <f>MID($C$4,E137,$F$1)</f>
        <v>mul(804,26);don</v>
      </c>
      <c r="G137" s="3">
        <f>SEARCH("(",F137)</f>
        <v>4</v>
      </c>
      <c r="H137" s="3">
        <f>SEARCH(",",F137)</f>
        <v>8</v>
      </c>
      <c r="I137" s="3">
        <f>SEARCH(")",F137)</f>
        <v>11</v>
      </c>
      <c r="J137" s="2" t="str">
        <f>IF(OR(ISERROR(G137),ISERROR(H137),ISERROR(I137)),"CORRUPT!","")</f>
        <v/>
      </c>
      <c r="K137" s="2" t="str">
        <f>IF(J137&lt;&gt;"","",MID(F137, G137+1, H137-G137-1))</f>
        <v>804</v>
      </c>
      <c r="L137" s="2">
        <f>IF(J137&lt;&gt;"","",LEN(K137))</f>
        <v>3</v>
      </c>
      <c r="M137" s="2" t="str">
        <f>IF(J137&lt;&gt;"","",MID(F137, H137+1, I137-H137-1))</f>
        <v>26</v>
      </c>
      <c r="N137" s="2">
        <f>IF(J137&lt;&gt;"","",LEN(M137))</f>
        <v>2</v>
      </c>
      <c r="O137" s="2">
        <f>IF(J137&lt;&gt;"","",K137*M137)</f>
        <v>20904</v>
      </c>
      <c r="R137" s="1" t="str">
        <v>936,442);{*(why()</v>
      </c>
      <c r="S137" s="1" t="str">
        <v>668,778</v>
      </c>
      <c r="T137" s="1" t="str">
        <v>668</v>
      </c>
      <c r="U137" s="1" t="str">
        <v>778</v>
      </c>
      <c r="V137" s="1">
        <v>519704</v>
      </c>
      <c r="AH137" s="1" t="str">
        <v>115,930)</v>
      </c>
      <c r="AI137" s="1" t="str">
        <v>115,930</v>
      </c>
      <c r="AJ137" s="1" t="str">
        <v>115</v>
      </c>
      <c r="AK137" s="1" t="str">
        <v>930</v>
      </c>
      <c r="AL137" s="1">
        <v>106950</v>
      </c>
    </row>
    <row r="138" spans="4:38" x14ac:dyDescent="0.3">
      <c r="D138" s="2">
        <v>135</v>
      </c>
      <c r="E138" s="2">
        <f>SEARCH("mul",$C$4,E137+1)</f>
        <v>3408</v>
      </c>
      <c r="F138" s="2" t="str">
        <f>MID($C$4,E138,$F$1)</f>
        <v>mul(668,778)%se</v>
      </c>
      <c r="G138" s="3">
        <f>SEARCH("(",F138)</f>
        <v>4</v>
      </c>
      <c r="H138" s="3">
        <f>SEARCH(",",F138)</f>
        <v>8</v>
      </c>
      <c r="I138" s="3">
        <f>SEARCH(")",F138)</f>
        <v>12</v>
      </c>
      <c r="J138" s="2" t="str">
        <f>IF(OR(ISERROR(G138),ISERROR(H138),ISERROR(I138)),"CORRUPT!","")</f>
        <v/>
      </c>
      <c r="K138" s="2" t="str">
        <f>IF(J138&lt;&gt;"","",MID(F138, G138+1, H138-G138-1))</f>
        <v>668</v>
      </c>
      <c r="L138" s="2">
        <f>IF(J138&lt;&gt;"","",LEN(K138))</f>
        <v>3</v>
      </c>
      <c r="M138" s="2" t="str">
        <f>IF(J138&lt;&gt;"","",MID(F138, H138+1, I138-H138-1))</f>
        <v>778</v>
      </c>
      <c r="N138" s="2">
        <f>IF(J138&lt;&gt;"","",LEN(M138))</f>
        <v>3</v>
      </c>
      <c r="O138" s="2">
        <f>IF(J138&lt;&gt;"","",K138*M138)</f>
        <v>519704</v>
      </c>
      <c r="R138" s="1" t="str">
        <v>804,26);don't()why(),+*how() @:</v>
      </c>
      <c r="S138" s="1" t="str">
        <v>66,974</v>
      </c>
      <c r="T138" s="1" t="str">
        <v>66</v>
      </c>
      <c r="U138" s="1" t="str">
        <v>974</v>
      </c>
      <c r="V138" s="1">
        <v>64284</v>
      </c>
      <c r="AH138" s="1" t="str">
        <v>552,181)</v>
      </c>
      <c r="AI138" s="1" t="str">
        <v>552,181</v>
      </c>
      <c r="AJ138" s="1" t="str">
        <v>552</v>
      </c>
      <c r="AK138" s="1" t="str">
        <v>181</v>
      </c>
      <c r="AL138" s="1">
        <v>99912</v>
      </c>
    </row>
    <row r="139" spans="4:38" x14ac:dyDescent="0.3">
      <c r="D139" s="2">
        <v>136</v>
      </c>
      <c r="E139" s="2">
        <f>SEARCH("mul",$C$4,E138+1)</f>
        <v>3445</v>
      </c>
      <c r="F139" s="2" t="str">
        <f>MID($C$4,E139,$F$1)</f>
        <v>mul(66,974)^)wh</v>
      </c>
      <c r="G139" s="3">
        <f>SEARCH("(",F139)</f>
        <v>4</v>
      </c>
      <c r="H139" s="3">
        <f>SEARCH(",",F139)</f>
        <v>7</v>
      </c>
      <c r="I139" s="3">
        <f>SEARCH(")",F139)</f>
        <v>11</v>
      </c>
      <c r="J139" s="2" t="str">
        <f>IF(OR(ISERROR(G139),ISERROR(H139),ISERROR(I139)),"CORRUPT!","")</f>
        <v/>
      </c>
      <c r="K139" s="2" t="str">
        <f>IF(J139&lt;&gt;"","",MID(F139, G139+1, H139-G139-1))</f>
        <v>66</v>
      </c>
      <c r="L139" s="2">
        <f>IF(J139&lt;&gt;"","",LEN(K139))</f>
        <v>2</v>
      </c>
      <c r="M139" s="2" t="str">
        <f>IF(J139&lt;&gt;"","",MID(F139, H139+1, I139-H139-1))</f>
        <v>974</v>
      </c>
      <c r="N139" s="2">
        <f>IF(J139&lt;&gt;"","",LEN(M139))</f>
        <v>3</v>
      </c>
      <c r="O139" s="2">
        <f>IF(J139&lt;&gt;"","",K139*M139)</f>
        <v>64284</v>
      </c>
      <c r="R139" s="1" t="str">
        <v>668,778)%select() who() (,where()</v>
      </c>
      <c r="S139" s="1" t="str">
        <v>832,615</v>
      </c>
      <c r="T139" s="1" t="str">
        <v>832</v>
      </c>
      <c r="U139" s="1" t="str">
        <v>615</v>
      </c>
      <c r="V139" s="1">
        <v>511680</v>
      </c>
      <c r="AH139" s="1" t="str">
        <v>762,163)</v>
      </c>
      <c r="AI139" s="1" t="str">
        <v>762,163</v>
      </c>
      <c r="AJ139" s="1" t="str">
        <v>762</v>
      </c>
      <c r="AK139" s="1" t="str">
        <v>163</v>
      </c>
      <c r="AL139" s="1">
        <v>124206</v>
      </c>
    </row>
    <row r="140" spans="4:38" x14ac:dyDescent="0.3">
      <c r="D140" s="2">
        <v>137</v>
      </c>
      <c r="E140" s="2">
        <f>SEARCH("mul",$C$4,E139+1)</f>
        <v>3471</v>
      </c>
      <c r="F140" s="2" t="str">
        <f>MID($C$4,E140,$F$1)</f>
        <v>mul(832,615)#mu</v>
      </c>
      <c r="G140" s="3">
        <f>SEARCH("(",F140)</f>
        <v>4</v>
      </c>
      <c r="H140" s="3">
        <f>SEARCH(",",F140)</f>
        <v>8</v>
      </c>
      <c r="I140" s="3">
        <f>SEARCH(")",F140)</f>
        <v>12</v>
      </c>
      <c r="J140" s="2" t="str">
        <f>IF(OR(ISERROR(G140),ISERROR(H140),ISERROR(I140)),"CORRUPT!","")</f>
        <v/>
      </c>
      <c r="K140" s="2" t="str">
        <f>IF(J140&lt;&gt;"","",MID(F140, G140+1, H140-G140-1))</f>
        <v>832</v>
      </c>
      <c r="L140" s="2">
        <f>IF(J140&lt;&gt;"","",LEN(K140))</f>
        <v>3</v>
      </c>
      <c r="M140" s="2" t="str">
        <f>IF(J140&lt;&gt;"","",MID(F140, H140+1, I140-H140-1))</f>
        <v>615</v>
      </c>
      <c r="N140" s="2">
        <f>IF(J140&lt;&gt;"","",LEN(M140))</f>
        <v>3</v>
      </c>
      <c r="O140" s="2">
        <f>IF(J140&lt;&gt;"","",K140*M140)</f>
        <v>511680</v>
      </c>
      <c r="R140" s="1" t="str">
        <v>66,974)^)when():$who()</v>
      </c>
      <c r="S140" s="1" t="str">
        <v>572,646</v>
      </c>
      <c r="T140" s="1" t="str">
        <v>572</v>
      </c>
      <c r="U140" s="1" t="str">
        <v>646</v>
      </c>
      <c r="V140" s="1">
        <v>369512</v>
      </c>
      <c r="AH140" s="1" t="str">
        <v>202,193)+*[</v>
      </c>
      <c r="AI140" s="1" t="str">
        <v>202,193</v>
      </c>
      <c r="AJ140" s="1" t="str">
        <v>202</v>
      </c>
      <c r="AK140" s="1" t="str">
        <v>193</v>
      </c>
      <c r="AL140" s="1">
        <v>38986</v>
      </c>
    </row>
    <row r="141" spans="4:38" x14ac:dyDescent="0.3">
      <c r="D141" s="2">
        <v>138</v>
      </c>
      <c r="E141" s="2">
        <f>SEARCH("mul",$C$4,E140+1)</f>
        <v>3484</v>
      </c>
      <c r="F141" s="2" t="str">
        <f>MID($C$4,E141,$F$1)</f>
        <v>mul(572,646)whe</v>
      </c>
      <c r="G141" s="3">
        <f>SEARCH("(",F141)</f>
        <v>4</v>
      </c>
      <c r="H141" s="3">
        <f>SEARCH(",",F141)</f>
        <v>8</v>
      </c>
      <c r="I141" s="3">
        <f>SEARCH(")",F141)</f>
        <v>12</v>
      </c>
      <c r="J141" s="2" t="str">
        <f>IF(OR(ISERROR(G141),ISERROR(H141),ISERROR(I141)),"CORRUPT!","")</f>
        <v/>
      </c>
      <c r="K141" s="2" t="str">
        <f>IF(J141&lt;&gt;"","",MID(F141, G141+1, H141-G141-1))</f>
        <v>572</v>
      </c>
      <c r="L141" s="2">
        <f>IF(J141&lt;&gt;"","",LEN(K141))</f>
        <v>3</v>
      </c>
      <c r="M141" s="2" t="str">
        <f>IF(J141&lt;&gt;"","",MID(F141, H141+1, I141-H141-1))</f>
        <v>646</v>
      </c>
      <c r="N141" s="2">
        <f>IF(J141&lt;&gt;"","",LEN(M141))</f>
        <v>3</v>
      </c>
      <c r="O141" s="2">
        <f>IF(J141&lt;&gt;"","",K141*M141)</f>
        <v>369512</v>
      </c>
      <c r="R141" s="1" t="str">
        <v>832,615)#</v>
      </c>
      <c r="S141" s="1" t="str">
        <v>820,446</v>
      </c>
      <c r="T141" s="1" t="str">
        <v>820</v>
      </c>
      <c r="U141" s="1" t="str">
        <v>446</v>
      </c>
      <c r="V141" s="1">
        <v>365720</v>
      </c>
      <c r="AH141" s="1" t="str">
        <v>525,337)+}-:](?^#</v>
      </c>
      <c r="AI141" s="1" t="str">
        <v>525,337</v>
      </c>
      <c r="AJ141" s="1" t="str">
        <v>525</v>
      </c>
      <c r="AK141" s="1" t="str">
        <v>337</v>
      </c>
      <c r="AL141" s="1">
        <v>176925</v>
      </c>
    </row>
    <row r="142" spans="4:38" x14ac:dyDescent="0.3">
      <c r="D142" s="2">
        <v>139</v>
      </c>
      <c r="E142" s="2">
        <f>SEARCH("mul",$C$4,E141+1)</f>
        <v>3542</v>
      </c>
      <c r="F142" s="2" t="str">
        <f>MID($C$4,E142,$F$1)</f>
        <v>mul(820,446)$wh</v>
      </c>
      <c r="G142" s="3">
        <f>SEARCH("(",F142)</f>
        <v>4</v>
      </c>
      <c r="H142" s="3">
        <f>SEARCH(",",F142)</f>
        <v>8</v>
      </c>
      <c r="I142" s="3">
        <f>SEARCH(")",F142)</f>
        <v>12</v>
      </c>
      <c r="J142" s="2" t="str">
        <f>IF(OR(ISERROR(G142),ISERROR(H142),ISERROR(I142)),"CORRUPT!","")</f>
        <v/>
      </c>
      <c r="K142" s="2" t="str">
        <f>IF(J142&lt;&gt;"","",MID(F142, G142+1, H142-G142-1))</f>
        <v>820</v>
      </c>
      <c r="L142" s="2">
        <f>IF(J142&lt;&gt;"","",LEN(K142))</f>
        <v>3</v>
      </c>
      <c r="M142" s="2" t="str">
        <f>IF(J142&lt;&gt;"","",MID(F142, H142+1, I142-H142-1))</f>
        <v>446</v>
      </c>
      <c r="N142" s="2">
        <f>IF(J142&lt;&gt;"","",LEN(M142))</f>
        <v>3</v>
      </c>
      <c r="O142" s="2">
        <f>IF(J142&lt;&gt;"","",K142*M142)</f>
        <v>365720</v>
      </c>
      <c r="R142" s="1" t="str">
        <v>572,646)where()how()what()when(673,330)where()when()&amp;/</v>
      </c>
      <c r="S142" s="1" t="str">
        <v>86,788</v>
      </c>
      <c r="T142" s="1" t="str">
        <v>86</v>
      </c>
      <c r="U142" s="1" t="str">
        <v>788</v>
      </c>
      <c r="V142" s="1">
        <v>67768</v>
      </c>
      <c r="AH142" s="1" t="str">
        <v>466,861)/'[what();^</v>
      </c>
      <c r="AI142" s="1" t="str">
        <v>466,861</v>
      </c>
      <c r="AJ142" s="1" t="str">
        <v>466</v>
      </c>
      <c r="AK142" s="1" t="str">
        <v>861</v>
      </c>
      <c r="AL142" s="1">
        <v>401226</v>
      </c>
    </row>
    <row r="143" spans="4:38" x14ac:dyDescent="0.3">
      <c r="D143" s="2">
        <v>140</v>
      </c>
      <c r="E143" s="2">
        <f>SEARCH("mul",$C$4,E142+1)</f>
        <v>3567</v>
      </c>
      <c r="F143" s="2" t="str">
        <f>MID($C$4,E143,$F$1)</f>
        <v>mul(86,788)^~wh</v>
      </c>
      <c r="G143" s="3">
        <f>SEARCH("(",F143)</f>
        <v>4</v>
      </c>
      <c r="H143" s="3">
        <f>SEARCH(",",F143)</f>
        <v>7</v>
      </c>
      <c r="I143" s="3">
        <f>SEARCH(")",F143)</f>
        <v>11</v>
      </c>
      <c r="J143" s="2" t="str">
        <f>IF(OR(ISERROR(G143),ISERROR(H143),ISERROR(I143)),"CORRUPT!","")</f>
        <v/>
      </c>
      <c r="K143" s="2" t="str">
        <f>IF(J143&lt;&gt;"","",MID(F143, G143+1, H143-G143-1))</f>
        <v>86</v>
      </c>
      <c r="L143" s="2">
        <f>IF(J143&lt;&gt;"","",LEN(K143))</f>
        <v>2</v>
      </c>
      <c r="M143" s="2" t="str">
        <f>IF(J143&lt;&gt;"","",MID(F143, H143+1, I143-H143-1))</f>
        <v>788</v>
      </c>
      <c r="N143" s="2">
        <f>IF(J143&lt;&gt;"","",LEN(M143))</f>
        <v>3</v>
      </c>
      <c r="O143" s="2">
        <f>IF(J143&lt;&gt;"","",K143*M143)</f>
        <v>67768</v>
      </c>
      <c r="R143" s="1" t="str">
        <v>820,446)$why()where()</v>
      </c>
      <c r="S143" s="1" t="str">
        <v>76,413</v>
      </c>
      <c r="T143" s="1" t="str">
        <v>76</v>
      </c>
      <c r="U143" s="1" t="str">
        <v>413</v>
      </c>
      <c r="V143" s="1">
        <v>31388</v>
      </c>
      <c r="AH143" s="1" t="str">
        <v>542,561);who()&amp;,</v>
      </c>
      <c r="AI143" s="1" t="str">
        <v>542,561</v>
      </c>
      <c r="AJ143" s="1" t="str">
        <v>542</v>
      </c>
      <c r="AK143" s="1" t="str">
        <v>561</v>
      </c>
      <c r="AL143" s="1">
        <v>304062</v>
      </c>
    </row>
    <row r="144" spans="4:38" x14ac:dyDescent="0.3">
      <c r="D144" s="2">
        <v>141</v>
      </c>
      <c r="E144" s="2">
        <f>SEARCH("mul",$C$4,E143+1)</f>
        <v>3587</v>
      </c>
      <c r="F144" s="2" t="str">
        <f>MID($C$4,E144,$F$1)</f>
        <v>mul(76,413)&amp;'ho</v>
      </c>
      <c r="G144" s="3">
        <f>SEARCH("(",F144)</f>
        <v>4</v>
      </c>
      <c r="H144" s="3">
        <f>SEARCH(",",F144)</f>
        <v>7</v>
      </c>
      <c r="I144" s="3">
        <f>SEARCH(")",F144)</f>
        <v>11</v>
      </c>
      <c r="J144" s="2" t="str">
        <f>IF(OR(ISERROR(G144),ISERROR(H144),ISERROR(I144)),"CORRUPT!","")</f>
        <v/>
      </c>
      <c r="K144" s="2" t="str">
        <f>IF(J144&lt;&gt;"","",MID(F144, G144+1, H144-G144-1))</f>
        <v>76</v>
      </c>
      <c r="L144" s="2">
        <f>IF(J144&lt;&gt;"","",LEN(K144))</f>
        <v>2</v>
      </c>
      <c r="M144" s="2" t="str">
        <f>IF(J144&lt;&gt;"","",MID(F144, H144+1, I144-H144-1))</f>
        <v>413</v>
      </c>
      <c r="N144" s="2">
        <f>IF(J144&lt;&gt;"","",LEN(M144))</f>
        <v>3</v>
      </c>
      <c r="O144" s="2">
        <f>IF(J144&lt;&gt;"","",K144*M144)</f>
        <v>31388</v>
      </c>
      <c r="R144" s="1" t="str">
        <v>86,788)^~what()'</v>
      </c>
      <c r="S144" s="1" t="str">
        <v>616,424</v>
      </c>
      <c r="T144" s="1" t="str">
        <v>616</v>
      </c>
      <c r="U144" s="1" t="str">
        <v>424</v>
      </c>
      <c r="V144" s="1">
        <v>261184</v>
      </c>
      <c r="AH144" s="1" t="str">
        <v>68,800)[&lt;'{}why()?^from()</v>
      </c>
      <c r="AI144" s="1" t="str">
        <v>68,800</v>
      </c>
      <c r="AJ144" s="1" t="str">
        <v>68</v>
      </c>
      <c r="AK144" s="1" t="str">
        <v>800</v>
      </c>
      <c r="AL144" s="1">
        <v>54400</v>
      </c>
    </row>
    <row r="145" spans="4:38" x14ac:dyDescent="0.3">
      <c r="D145" s="2">
        <v>142</v>
      </c>
      <c r="E145" s="2">
        <f>SEARCH("mul",$C$4,E144+1)</f>
        <v>3605</v>
      </c>
      <c r="F145" s="2" t="str">
        <f>MID($C$4,E145,$F$1)</f>
        <v>mul(616,424)wha</v>
      </c>
      <c r="G145" s="3">
        <f>SEARCH("(",F145)</f>
        <v>4</v>
      </c>
      <c r="H145" s="3">
        <f>SEARCH(",",F145)</f>
        <v>8</v>
      </c>
      <c r="I145" s="3">
        <f>SEARCH(")",F145)</f>
        <v>12</v>
      </c>
      <c r="J145" s="2" t="str">
        <f>IF(OR(ISERROR(G145),ISERROR(H145),ISERROR(I145)),"CORRUPT!","")</f>
        <v/>
      </c>
      <c r="K145" s="2" t="str">
        <f>IF(J145&lt;&gt;"","",MID(F145, G145+1, H145-G145-1))</f>
        <v>616</v>
      </c>
      <c r="L145" s="2">
        <f>IF(J145&lt;&gt;"","",LEN(K145))</f>
        <v>3</v>
      </c>
      <c r="M145" s="2" t="str">
        <f>IF(J145&lt;&gt;"","",MID(F145, H145+1, I145-H145-1))</f>
        <v>424</v>
      </c>
      <c r="N145" s="2">
        <f>IF(J145&lt;&gt;"","",LEN(M145))</f>
        <v>3</v>
      </c>
      <c r="O145" s="2">
        <f>IF(J145&lt;&gt;"","",K145*M145)</f>
        <v>261184</v>
      </c>
      <c r="R145" s="1" t="str">
        <v>76,413)&amp;'how()</v>
      </c>
      <c r="S145" s="1" t="str">
        <v>651,36</v>
      </c>
      <c r="T145" s="1" t="str">
        <v>651</v>
      </c>
      <c r="U145" s="1" t="str">
        <v>36</v>
      </c>
      <c r="V145" s="1">
        <v>23436</v>
      </c>
      <c r="AH145" s="1" t="str">
        <v>26,194)?]who():;</v>
      </c>
      <c r="AI145" s="1" t="str">
        <v>26,194</v>
      </c>
      <c r="AJ145" s="1" t="str">
        <v>26</v>
      </c>
      <c r="AK145" s="1" t="str">
        <v>194</v>
      </c>
      <c r="AL145" s="1">
        <v>5044</v>
      </c>
    </row>
    <row r="146" spans="4:38" x14ac:dyDescent="0.3">
      <c r="D146" s="2">
        <v>143</v>
      </c>
      <c r="E146" s="2">
        <f>SEARCH("mul",$C$4,E145+1)</f>
        <v>3641</v>
      </c>
      <c r="F146" s="2" t="str">
        <f>MID($C$4,E146,$F$1)</f>
        <v>mul(651,36)!{ m</v>
      </c>
      <c r="G146" s="3">
        <f>SEARCH("(",F146)</f>
        <v>4</v>
      </c>
      <c r="H146" s="3">
        <f>SEARCH(",",F146)</f>
        <v>8</v>
      </c>
      <c r="I146" s="3">
        <f>SEARCH(")",F146)</f>
        <v>11</v>
      </c>
      <c r="J146" s="2" t="str">
        <f>IF(OR(ISERROR(G146),ISERROR(H146),ISERROR(I146)),"CORRUPT!","")</f>
        <v/>
      </c>
      <c r="K146" s="2" t="str">
        <f>IF(J146&lt;&gt;"","",MID(F146, G146+1, H146-G146-1))</f>
        <v>651</v>
      </c>
      <c r="L146" s="2">
        <f>IF(J146&lt;&gt;"","",LEN(K146))</f>
        <v>3</v>
      </c>
      <c r="M146" s="2" t="str">
        <f>IF(J146&lt;&gt;"","",MID(F146, H146+1, I146-H146-1))</f>
        <v>36</v>
      </c>
      <c r="N146" s="2">
        <f>IF(J146&lt;&gt;"","",LEN(M146))</f>
        <v>2</v>
      </c>
      <c r="O146" s="2">
        <f>IF(J146&lt;&gt;"","",K146*M146)</f>
        <v>23436</v>
      </c>
      <c r="R146" s="1" t="str">
        <v>616,424)what()select()}from()(/;</v>
      </c>
      <c r="S146" s="1" t="str">
        <v>469,702</v>
      </c>
      <c r="T146" s="1" t="str">
        <v>469</v>
      </c>
      <c r="U146" s="1" t="str">
        <v>702</v>
      </c>
      <c r="V146" s="1">
        <v>329238</v>
      </c>
      <c r="AH146" s="1" t="str">
        <v>641,921)#&amp;where()</v>
      </c>
      <c r="AI146" s="1" t="str">
        <v>641,921</v>
      </c>
      <c r="AJ146" s="1" t="str">
        <v>641</v>
      </c>
      <c r="AK146" s="1" t="str">
        <v>921</v>
      </c>
      <c r="AL146" s="1">
        <v>590361</v>
      </c>
    </row>
    <row r="147" spans="4:38" x14ac:dyDescent="0.3">
      <c r="D147" s="2">
        <v>144</v>
      </c>
      <c r="E147" s="2">
        <f>SEARCH("mul",$C$4,E146+1)</f>
        <v>3655</v>
      </c>
      <c r="F147" s="2" t="str">
        <f>MID($C$4,E147,$F$1)</f>
        <v>mul[*mul(469,70</v>
      </c>
      <c r="G147" s="3">
        <f>SEARCH("(",F147)</f>
        <v>9</v>
      </c>
      <c r="H147" s="3">
        <f>SEARCH(",",F147)</f>
        <v>13</v>
      </c>
      <c r="I147" s="3" t="e">
        <f>SEARCH(")",F147)</f>
        <v>#VALUE!</v>
      </c>
      <c r="J147" s="2" t="str">
        <f>IF(OR(ISERROR(G147),ISERROR(H147),ISERROR(I147)),"CORRUPT!","")</f>
        <v>CORRUPT!</v>
      </c>
      <c r="K147" s="2" t="str">
        <f>IF(J147&lt;&gt;"","",MID(F147, G147+1, H147-G147-1))</f>
        <v/>
      </c>
      <c r="L147" s="2" t="str">
        <f>IF(J147&lt;&gt;"","",LEN(K147))</f>
        <v/>
      </c>
      <c r="M147" s="2" t="str">
        <f>IF(J147&lt;&gt;"","",MID(F147, H147+1, I147-H147-1))</f>
        <v/>
      </c>
      <c r="N147" s="2" t="str">
        <f>IF(J147&lt;&gt;"","",LEN(M147))</f>
        <v/>
      </c>
      <c r="O147" s="2" t="str">
        <f>IF(J147&lt;&gt;"","",K147*M147)</f>
        <v/>
      </c>
      <c r="R147" s="1" t="str">
        <v>651,36)!{ mul[*</v>
      </c>
      <c r="S147" s="1" t="str">
        <v>331,879</v>
      </c>
      <c r="T147" s="1" t="str">
        <v>331</v>
      </c>
      <c r="U147" s="1" t="str">
        <v>879</v>
      </c>
      <c r="V147" s="1">
        <v>290949</v>
      </c>
      <c r="AH147" s="1" t="str">
        <v>539,571)select()]~%%]when())</v>
      </c>
      <c r="AI147" s="1" t="str">
        <v>539,571</v>
      </c>
      <c r="AJ147" s="1" t="str">
        <v>539</v>
      </c>
      <c r="AK147" s="1" t="str">
        <v>571</v>
      </c>
      <c r="AL147" s="1">
        <v>307769</v>
      </c>
    </row>
    <row r="148" spans="4:38" x14ac:dyDescent="0.3">
      <c r="D148" s="2">
        <v>145</v>
      </c>
      <c r="E148" s="2">
        <f>SEARCH("mul",$C$4,E147+1)</f>
        <v>3660</v>
      </c>
      <c r="F148" s="2" t="str">
        <f>MID($C$4,E148,$F$1)</f>
        <v>mul(469,702)who</v>
      </c>
      <c r="G148" s="3">
        <f>SEARCH("(",F148)</f>
        <v>4</v>
      </c>
      <c r="H148" s="3">
        <f>SEARCH(",",F148)</f>
        <v>8</v>
      </c>
      <c r="I148" s="3">
        <f>SEARCH(")",F148)</f>
        <v>12</v>
      </c>
      <c r="J148" s="2" t="str">
        <f>IF(OR(ISERROR(G148),ISERROR(H148),ISERROR(I148)),"CORRUPT!","")</f>
        <v/>
      </c>
      <c r="K148" s="2" t="str">
        <f>IF(J148&lt;&gt;"","",MID(F148, G148+1, H148-G148-1))</f>
        <v>469</v>
      </c>
      <c r="L148" s="2">
        <f>IF(J148&lt;&gt;"","",LEN(K148))</f>
        <v>3</v>
      </c>
      <c r="M148" s="2" t="str">
        <f>IF(J148&lt;&gt;"","",MID(F148, H148+1, I148-H148-1))</f>
        <v>702</v>
      </c>
      <c r="N148" s="2">
        <f>IF(J148&lt;&gt;"","",LEN(M148))</f>
        <v>3</v>
      </c>
      <c r="O148" s="2">
        <f>IF(J148&lt;&gt;"","",K148*M148)</f>
        <v>329238</v>
      </c>
      <c r="R148" s="1" t="str">
        <v>469,702)who()?;</v>
      </c>
      <c r="S148" s="1" t="str">
        <v>182,296</v>
      </c>
      <c r="T148" s="1" t="str">
        <v>182</v>
      </c>
      <c r="U148" s="1" t="str">
        <v>296</v>
      </c>
      <c r="V148" s="1">
        <v>53872</v>
      </c>
      <c r="AH148" s="1" t="str">
        <v>833,642);</v>
      </c>
      <c r="AI148" s="1" t="str">
        <v>833,642</v>
      </c>
      <c r="AJ148" s="1" t="str">
        <v>833</v>
      </c>
      <c r="AK148" s="1" t="str">
        <v>642</v>
      </c>
      <c r="AL148" s="1">
        <v>534786</v>
      </c>
    </row>
    <row r="149" spans="4:38" x14ac:dyDescent="0.3">
      <c r="D149" s="2">
        <v>146</v>
      </c>
      <c r="E149" s="2">
        <f>SEARCH("mul",$C$4,E148+1)</f>
        <v>3679</v>
      </c>
      <c r="F149" s="2" t="str">
        <f>MID($C$4,E149,$F$1)</f>
        <v>mul(331,879)?*f</v>
      </c>
      <c r="G149" s="3">
        <f>SEARCH("(",F149)</f>
        <v>4</v>
      </c>
      <c r="H149" s="3">
        <f>SEARCH(",",F149)</f>
        <v>8</v>
      </c>
      <c r="I149" s="3">
        <f>SEARCH(")",F149)</f>
        <v>12</v>
      </c>
      <c r="J149" s="2" t="str">
        <f>IF(OR(ISERROR(G149),ISERROR(H149),ISERROR(I149)),"CORRUPT!","")</f>
        <v/>
      </c>
      <c r="K149" s="2" t="str">
        <f>IF(J149&lt;&gt;"","",MID(F149, G149+1, H149-G149-1))</f>
        <v>331</v>
      </c>
      <c r="L149" s="2">
        <f>IF(J149&lt;&gt;"","",LEN(K149))</f>
        <v>3</v>
      </c>
      <c r="M149" s="2" t="str">
        <f>IF(J149&lt;&gt;"","",MID(F149, H149+1, I149-H149-1))</f>
        <v>879</v>
      </c>
      <c r="N149" s="2">
        <f>IF(J149&lt;&gt;"","",LEN(M149))</f>
        <v>3</v>
      </c>
      <c r="O149" s="2">
        <f>IF(J149&lt;&gt;"","",K149*M149)</f>
        <v>290949</v>
      </c>
      <c r="R149" s="1" t="str">
        <v xml:space="preserve">331,879)?*from(54,751)who()#+[ </v>
      </c>
      <c r="S149" s="1" t="str">
        <v>920,190</v>
      </c>
      <c r="T149" s="1" t="str">
        <v>920</v>
      </c>
      <c r="U149" s="1" t="str">
        <v>190</v>
      </c>
      <c r="V149" s="1">
        <v>174800</v>
      </c>
      <c r="AH149" s="1" t="str">
        <v>209,564)}&lt;^)when()</v>
      </c>
      <c r="AI149" s="1" t="str">
        <v>209,564</v>
      </c>
      <c r="AJ149" s="1" t="str">
        <v>209</v>
      </c>
      <c r="AK149" s="1" t="str">
        <v>564</v>
      </c>
      <c r="AL149" s="1">
        <v>117876</v>
      </c>
    </row>
    <row r="150" spans="4:38" x14ac:dyDescent="0.3">
      <c r="D150" s="2">
        <v>147</v>
      </c>
      <c r="E150" s="2">
        <f>SEARCH("mul",$C$4,E149+1)</f>
        <v>3714</v>
      </c>
      <c r="F150" s="2" t="str">
        <f>MID($C$4,E150,$F$1)</f>
        <v>mul(182,296)whe</v>
      </c>
      <c r="G150" s="3">
        <f>SEARCH("(",F150)</f>
        <v>4</v>
      </c>
      <c r="H150" s="3">
        <f>SEARCH(",",F150)</f>
        <v>8</v>
      </c>
      <c r="I150" s="3">
        <f>SEARCH(")",F150)</f>
        <v>12</v>
      </c>
      <c r="J150" s="2" t="str">
        <f>IF(OR(ISERROR(G150),ISERROR(H150),ISERROR(I150)),"CORRUPT!","")</f>
        <v/>
      </c>
      <c r="K150" s="2" t="str">
        <f>IF(J150&lt;&gt;"","",MID(F150, G150+1, H150-G150-1))</f>
        <v>182</v>
      </c>
      <c r="L150" s="2">
        <f>IF(J150&lt;&gt;"","",LEN(K150))</f>
        <v>3</v>
      </c>
      <c r="M150" s="2" t="str">
        <f>IF(J150&lt;&gt;"","",MID(F150, H150+1, I150-H150-1))</f>
        <v>296</v>
      </c>
      <c r="N150" s="2">
        <f>IF(J150&lt;&gt;"","",LEN(M150))</f>
        <v>3</v>
      </c>
      <c r="O150" s="2">
        <f>IF(J150&lt;&gt;"","",K150*M150)</f>
        <v>53872</v>
      </c>
      <c r="R150" s="1" t="str">
        <v>182,296)where(607,734){</v>
      </c>
      <c r="S150" s="1" t="str">
        <v>660,732</v>
      </c>
      <c r="T150" s="1" t="str">
        <v>660</v>
      </c>
      <c r="U150" s="1" t="str">
        <v>732</v>
      </c>
      <c r="V150" s="1">
        <v>483120</v>
      </c>
      <c r="AH150" s="1" t="str">
        <v>648,430/(#)/?(';where()what()</v>
      </c>
      <c r="AI150" s="1" t="str">
        <v>648,430/(#</v>
      </c>
      <c r="AJ150" s="1" t="str">
        <v>648</v>
      </c>
      <c r="AK150" s="1" t="str">
        <v>430/(#</v>
      </c>
      <c r="AL150" s="1">
        <v>0</v>
      </c>
    </row>
    <row r="151" spans="4:38" x14ac:dyDescent="0.3">
      <c r="D151" s="2">
        <v>148</v>
      </c>
      <c r="E151" s="2">
        <f>SEARCH("mul",$C$4,E150+1)</f>
        <v>3741</v>
      </c>
      <c r="F151" s="2" t="str">
        <f>MID($C$4,E151,$F$1)</f>
        <v>mul(920,190) :m</v>
      </c>
      <c r="G151" s="3">
        <f>SEARCH("(",F151)</f>
        <v>4</v>
      </c>
      <c r="H151" s="3">
        <f>SEARCH(",",F151)</f>
        <v>8</v>
      </c>
      <c r="I151" s="3">
        <f>SEARCH(")",F151)</f>
        <v>12</v>
      </c>
      <c r="J151" s="2" t="str">
        <f>IF(OR(ISERROR(G151),ISERROR(H151),ISERROR(I151)),"CORRUPT!","")</f>
        <v/>
      </c>
      <c r="K151" s="2" t="str">
        <f>IF(J151&lt;&gt;"","",MID(F151, G151+1, H151-G151-1))</f>
        <v>920</v>
      </c>
      <c r="L151" s="2">
        <f>IF(J151&lt;&gt;"","",LEN(K151))</f>
        <v>3</v>
      </c>
      <c r="M151" s="2" t="str">
        <f>IF(J151&lt;&gt;"","",MID(F151, H151+1, I151-H151-1))</f>
        <v>190</v>
      </c>
      <c r="N151" s="2">
        <f>IF(J151&lt;&gt;"","",LEN(M151))</f>
        <v>3</v>
      </c>
      <c r="O151" s="2">
        <f>IF(J151&lt;&gt;"","",K151*M151)</f>
        <v>174800</v>
      </c>
      <c r="R151" s="1" t="str">
        <v>920,190) :</v>
      </c>
      <c r="S151" s="1" t="str">
        <v>3,615</v>
      </c>
      <c r="T151" s="1" t="str">
        <v>3</v>
      </c>
      <c r="U151" s="1" t="str">
        <v>615</v>
      </c>
      <c r="V151" s="1">
        <v>1845</v>
      </c>
      <c r="AH151" s="1" t="str">
        <v>818,526) ]!what()when()(&amp;</v>
      </c>
      <c r="AI151" s="1" t="str">
        <v>818,526</v>
      </c>
      <c r="AJ151" s="1" t="str">
        <v>818</v>
      </c>
      <c r="AK151" s="1" t="str">
        <v>526</v>
      </c>
      <c r="AL151" s="1">
        <v>430268</v>
      </c>
    </row>
    <row r="152" spans="4:38" x14ac:dyDescent="0.3">
      <c r="D152" s="2">
        <v>149</v>
      </c>
      <c r="E152" s="2">
        <f>SEARCH("mul",$C$4,E151+1)</f>
        <v>3755</v>
      </c>
      <c r="F152" s="2" t="str">
        <f>MID($C$4,E152,$F$1)</f>
        <v>mul(660,732)^wh</v>
      </c>
      <c r="G152" s="3">
        <f>SEARCH("(",F152)</f>
        <v>4</v>
      </c>
      <c r="H152" s="3">
        <f>SEARCH(",",F152)</f>
        <v>8</v>
      </c>
      <c r="I152" s="3">
        <f>SEARCH(")",F152)</f>
        <v>12</v>
      </c>
      <c r="J152" s="2" t="str">
        <f>IF(OR(ISERROR(G152),ISERROR(H152),ISERROR(I152)),"CORRUPT!","")</f>
        <v/>
      </c>
      <c r="K152" s="2" t="str">
        <f>IF(J152&lt;&gt;"","",MID(F152, G152+1, H152-G152-1))</f>
        <v>660</v>
      </c>
      <c r="L152" s="2">
        <f>IF(J152&lt;&gt;"","",LEN(K152))</f>
        <v>3</v>
      </c>
      <c r="M152" s="2" t="str">
        <f>IF(J152&lt;&gt;"","",MID(F152, H152+1, I152-H152-1))</f>
        <v>732</v>
      </c>
      <c r="N152" s="2">
        <f>IF(J152&lt;&gt;"","",LEN(M152))</f>
        <v>3</v>
      </c>
      <c r="O152" s="2">
        <f>IF(J152&lt;&gt;"","",K152*M152)</f>
        <v>483120</v>
      </c>
      <c r="R152" s="1" t="str">
        <v>660,732)^who()who()*'!</v>
      </c>
      <c r="S152" s="1" t="str">
        <v>254,713</v>
      </c>
      <c r="T152" s="1" t="str">
        <v>254</v>
      </c>
      <c r="U152" s="1" t="str">
        <v>713</v>
      </c>
      <c r="V152" s="1">
        <v>181102</v>
      </c>
      <c r="AH152" s="1" t="str">
        <v>129,293)}}{~from()]select()*+</v>
      </c>
      <c r="AI152" s="1" t="str">
        <v>129,293</v>
      </c>
      <c r="AJ152" s="1" t="str">
        <v>129</v>
      </c>
      <c r="AK152" s="1" t="str">
        <v>293</v>
      </c>
      <c r="AL152" s="1">
        <v>37797</v>
      </c>
    </row>
    <row r="153" spans="4:38" x14ac:dyDescent="0.3">
      <c r="D153" s="2">
        <v>150</v>
      </c>
      <c r="E153" s="2">
        <f>SEARCH("mul",$C$4,E152+1)</f>
        <v>3781</v>
      </c>
      <c r="F153" s="2" t="str">
        <f>MID($C$4,E153,$F$1)</f>
        <v>mul(3,615)+{why</v>
      </c>
      <c r="G153" s="3">
        <f>SEARCH("(",F153)</f>
        <v>4</v>
      </c>
      <c r="H153" s="3">
        <f>SEARCH(",",F153)</f>
        <v>6</v>
      </c>
      <c r="I153" s="3">
        <f>SEARCH(")",F153)</f>
        <v>10</v>
      </c>
      <c r="J153" s="2" t="str">
        <f>IF(OR(ISERROR(G153),ISERROR(H153),ISERROR(I153)),"CORRUPT!","")</f>
        <v/>
      </c>
      <c r="K153" s="2" t="str">
        <f>IF(J153&lt;&gt;"","",MID(F153, G153+1, H153-G153-1))</f>
        <v>3</v>
      </c>
      <c r="L153" s="2">
        <f>IF(J153&lt;&gt;"","",LEN(K153))</f>
        <v>1</v>
      </c>
      <c r="M153" s="2" t="str">
        <f>IF(J153&lt;&gt;"","",MID(F153, H153+1, I153-H153-1))</f>
        <v>615</v>
      </c>
      <c r="N153" s="2">
        <f>IF(J153&lt;&gt;"","",LEN(M153))</f>
        <v>3</v>
      </c>
      <c r="O153" s="2">
        <f>IF(J153&lt;&gt;"","",K153*M153)</f>
        <v>1845</v>
      </c>
      <c r="R153" s="1" t="str">
        <v xml:space="preserve">3,615)+{why(168,603)when(), </v>
      </c>
      <c r="S153" s="1" t="str">
        <v>897,311</v>
      </c>
      <c r="T153" s="1" t="str">
        <v>897</v>
      </c>
      <c r="U153" s="1" t="str">
        <v>311</v>
      </c>
      <c r="V153" s="1">
        <v>278967</v>
      </c>
      <c r="AH153" s="1" t="str">
        <v>724,202)</v>
      </c>
      <c r="AI153" s="1" t="str">
        <v>724,202</v>
      </c>
      <c r="AJ153" s="1" t="str">
        <v>724</v>
      </c>
      <c r="AK153" s="1" t="str">
        <v>202</v>
      </c>
      <c r="AL153" s="1">
        <v>146248</v>
      </c>
    </row>
    <row r="154" spans="4:38" x14ac:dyDescent="0.3">
      <c r="D154" s="2">
        <v>151</v>
      </c>
      <c r="E154" s="2">
        <f>SEARCH("mul",$C$4,E153+1)</f>
        <v>3813</v>
      </c>
      <c r="F154" s="2" t="str">
        <f>MID($C$4,E154,$F$1)</f>
        <v>mul(254,713); w</v>
      </c>
      <c r="G154" s="3">
        <f>SEARCH("(",F154)</f>
        <v>4</v>
      </c>
      <c r="H154" s="3">
        <f>SEARCH(",",F154)</f>
        <v>8</v>
      </c>
      <c r="I154" s="3">
        <f>SEARCH(")",F154)</f>
        <v>12</v>
      </c>
      <c r="J154" s="2" t="str">
        <f>IF(OR(ISERROR(G154),ISERROR(H154),ISERROR(I154)),"CORRUPT!","")</f>
        <v/>
      </c>
      <c r="K154" s="2" t="str">
        <f>IF(J154&lt;&gt;"","",MID(F154, G154+1, H154-G154-1))</f>
        <v>254</v>
      </c>
      <c r="L154" s="2">
        <f>IF(J154&lt;&gt;"","",LEN(K154))</f>
        <v>3</v>
      </c>
      <c r="M154" s="2" t="str">
        <f>IF(J154&lt;&gt;"","",MID(F154, H154+1, I154-H154-1))</f>
        <v>713</v>
      </c>
      <c r="N154" s="2">
        <f>IF(J154&lt;&gt;"","",LEN(M154))</f>
        <v>3</v>
      </c>
      <c r="O154" s="2">
        <f>IF(J154&lt;&gt;"","",K154*M154)</f>
        <v>181102</v>
      </c>
      <c r="R154" s="1" t="str">
        <v>254,713); where()*from()~ !!#</v>
      </c>
      <c r="S154" s="1" t="str">
        <v>629;what(280,32</v>
      </c>
      <c r="T154" s="1" t="str">
        <v>629;what(280</v>
      </c>
      <c r="U154" s="1" t="str">
        <v>32</v>
      </c>
      <c r="V154" s="1">
        <v>0</v>
      </c>
      <c r="AH154" s="1" t="str">
        <v>540,481)+when()$&gt;&lt;from()?$#</v>
      </c>
      <c r="AI154" s="1" t="str">
        <v>540,481</v>
      </c>
      <c r="AJ154" s="1" t="str">
        <v>540</v>
      </c>
      <c r="AK154" s="1" t="str">
        <v>481</v>
      </c>
      <c r="AL154" s="1">
        <v>259740</v>
      </c>
    </row>
    <row r="155" spans="4:38" x14ac:dyDescent="0.3">
      <c r="D155" s="2">
        <v>152</v>
      </c>
      <c r="E155" s="2">
        <f>SEARCH("mul",$C$4,E154+1)</f>
        <v>3846</v>
      </c>
      <c r="F155" s="2" t="str">
        <f>MID($C$4,E155,$F$1)</f>
        <v>mul(897,311)]mu</v>
      </c>
      <c r="G155" s="3">
        <f>SEARCH("(",F155)</f>
        <v>4</v>
      </c>
      <c r="H155" s="3">
        <f>SEARCH(",",F155)</f>
        <v>8</v>
      </c>
      <c r="I155" s="3">
        <f>SEARCH(")",F155)</f>
        <v>12</v>
      </c>
      <c r="J155" s="2" t="str">
        <f>IF(OR(ISERROR(G155),ISERROR(H155),ISERROR(I155)),"CORRUPT!","")</f>
        <v/>
      </c>
      <c r="K155" s="2" t="str">
        <f>IF(J155&lt;&gt;"","",MID(F155, G155+1, H155-G155-1))</f>
        <v>897</v>
      </c>
      <c r="L155" s="2">
        <f>IF(J155&lt;&gt;"","",LEN(K155))</f>
        <v>3</v>
      </c>
      <c r="M155" s="2" t="str">
        <f>IF(J155&lt;&gt;"","",MID(F155, H155+1, I155-H155-1))</f>
        <v>311</v>
      </c>
      <c r="N155" s="2">
        <f>IF(J155&lt;&gt;"","",LEN(M155))</f>
        <v>3</v>
      </c>
      <c r="O155" s="2">
        <f>IF(J155&lt;&gt;"","",K155*M155)</f>
        <v>278967</v>
      </c>
      <c r="R155" s="1" t="str">
        <v>897,311)]</v>
      </c>
      <c r="S155" s="1" t="str">
        <v>194,563</v>
      </c>
      <c r="T155" s="1" t="str">
        <v>194</v>
      </c>
      <c r="U155" s="1" t="str">
        <v>563</v>
      </c>
      <c r="V155" s="1">
        <v>109222</v>
      </c>
      <c r="AH155" s="1" t="str">
        <v>604,366)where()why()^select()</v>
      </c>
      <c r="AI155" s="1" t="str">
        <v>604,366</v>
      </c>
      <c r="AJ155" s="1" t="str">
        <v>604</v>
      </c>
      <c r="AK155" s="1" t="str">
        <v>366</v>
      </c>
      <c r="AL155" s="1">
        <v>221064</v>
      </c>
    </row>
    <row r="156" spans="4:38" x14ac:dyDescent="0.3">
      <c r="D156" s="2">
        <v>153</v>
      </c>
      <c r="E156" s="2">
        <f>SEARCH("mul",$C$4,E155+1)</f>
        <v>3859</v>
      </c>
      <c r="F156" s="2" t="str">
        <f>MID($C$4,E156,$F$1)</f>
        <v>mul(629;what(28</v>
      </c>
      <c r="G156" s="3">
        <f>SEARCH("(",F156)</f>
        <v>4</v>
      </c>
      <c r="H156" s="3" t="e">
        <f>SEARCH(",",F156)</f>
        <v>#VALUE!</v>
      </c>
      <c r="I156" s="3" t="e">
        <f>SEARCH(")",F156)</f>
        <v>#VALUE!</v>
      </c>
      <c r="J156" s="2" t="str">
        <f>IF(OR(ISERROR(G156),ISERROR(H156),ISERROR(I156)),"CORRUPT!","")</f>
        <v>CORRUPT!</v>
      </c>
      <c r="K156" s="2" t="str">
        <f>IF(J156&lt;&gt;"","",MID(F156, G156+1, H156-G156-1))</f>
        <v/>
      </c>
      <c r="L156" s="2" t="str">
        <f>IF(J156&lt;&gt;"","",LEN(K156))</f>
        <v/>
      </c>
      <c r="M156" s="2" t="str">
        <f>IF(J156&lt;&gt;"","",MID(F156, H156+1, I156-H156-1))</f>
        <v/>
      </c>
      <c r="N156" s="2" t="str">
        <f>IF(J156&lt;&gt;"","",LEN(M156))</f>
        <v/>
      </c>
      <c r="O156" s="2" t="str">
        <f>IF(J156&lt;&gt;"","",K156*M156)</f>
        <v/>
      </c>
      <c r="R156" s="1" t="str">
        <v>629;what(280,32)&gt;</v>
      </c>
      <c r="S156" s="1" t="str">
        <v>27,237</v>
      </c>
      <c r="T156" s="1" t="str">
        <v>27</v>
      </c>
      <c r="U156" s="1" t="str">
        <v>237</v>
      </c>
      <c r="V156" s="1">
        <v>6399</v>
      </c>
      <c r="AH156" s="1" t="str">
        <v>82,14){]what()##/^</v>
      </c>
      <c r="AI156" s="1" t="str">
        <v>82,14</v>
      </c>
      <c r="AJ156" s="1" t="str">
        <v>82</v>
      </c>
      <c r="AK156" s="1" t="str">
        <v>14</v>
      </c>
      <c r="AL156" s="1">
        <v>1148</v>
      </c>
    </row>
    <row r="157" spans="4:38" x14ac:dyDescent="0.3">
      <c r="D157" s="2">
        <v>154</v>
      </c>
      <c r="E157" s="2">
        <f>SEARCH("mul",$C$4,E156+1)</f>
        <v>3880</v>
      </c>
      <c r="F157" s="2" t="str">
        <f>MID($C$4,E157,$F$1)</f>
        <v>mul(194,563)^&lt;h</v>
      </c>
      <c r="G157" s="3">
        <f>SEARCH("(",F157)</f>
        <v>4</v>
      </c>
      <c r="H157" s="3">
        <f>SEARCH(",",F157)</f>
        <v>8</v>
      </c>
      <c r="I157" s="3">
        <f>SEARCH(")",F157)</f>
        <v>12</v>
      </c>
      <c r="J157" s="2" t="str">
        <f>IF(OR(ISERROR(G157),ISERROR(H157),ISERROR(I157)),"CORRUPT!","")</f>
        <v/>
      </c>
      <c r="K157" s="2" t="str">
        <f>IF(J157&lt;&gt;"","",MID(F157, G157+1, H157-G157-1))</f>
        <v>194</v>
      </c>
      <c r="L157" s="2">
        <f>IF(J157&lt;&gt;"","",LEN(K157))</f>
        <v>3</v>
      </c>
      <c r="M157" s="2" t="str">
        <f>IF(J157&lt;&gt;"","",MID(F157, H157+1, I157-H157-1))</f>
        <v>563</v>
      </c>
      <c r="N157" s="2">
        <f>IF(J157&lt;&gt;"","",LEN(M157))</f>
        <v>3</v>
      </c>
      <c r="O157" s="2">
        <f>IF(J157&lt;&gt;"","",K157*M157)</f>
        <v>109222</v>
      </c>
      <c r="R157" s="1" t="str">
        <v>194,563)^&lt;how()when() }#&lt;</v>
      </c>
      <c r="S157" s="1" t="str">
        <v>389,541</v>
      </c>
      <c r="T157" s="1" t="str">
        <v>389</v>
      </c>
      <c r="U157" s="1" t="str">
        <v>541</v>
      </c>
      <c r="V157" s="1">
        <v>210449</v>
      </c>
      <c r="AH157" s="1" t="str">
        <v>661$</v>
      </c>
      <c r="AI157" s="1" t="e">
        <v>#N/A</v>
      </c>
      <c r="AJ157" s="1" t="e">
        <v>#N/A</v>
      </c>
      <c r="AK157" s="1" t="e">
        <v>#N/A</v>
      </c>
      <c r="AL157" s="1">
        <v>0</v>
      </c>
    </row>
    <row r="158" spans="4:38" x14ac:dyDescent="0.3">
      <c r="D158" s="2">
        <v>155</v>
      </c>
      <c r="E158" s="2">
        <f>SEARCH("mul",$C$4,E157+1)</f>
        <v>3909</v>
      </c>
      <c r="F158" s="2" t="str">
        <f>MID($C$4,E158,$F$1)</f>
        <v>mul(27,237)?@wh</v>
      </c>
      <c r="G158" s="3">
        <f>SEARCH("(",F158)</f>
        <v>4</v>
      </c>
      <c r="H158" s="3">
        <f>SEARCH(",",F158)</f>
        <v>7</v>
      </c>
      <c r="I158" s="3">
        <f>SEARCH(")",F158)</f>
        <v>11</v>
      </c>
      <c r="J158" s="2" t="str">
        <f>IF(OR(ISERROR(G158),ISERROR(H158),ISERROR(I158)),"CORRUPT!","")</f>
        <v/>
      </c>
      <c r="K158" s="2" t="str">
        <f>IF(J158&lt;&gt;"","",MID(F158, G158+1, H158-G158-1))</f>
        <v>27</v>
      </c>
      <c r="L158" s="2">
        <f>IF(J158&lt;&gt;"","",LEN(K158))</f>
        <v>2</v>
      </c>
      <c r="M158" s="2" t="str">
        <f>IF(J158&lt;&gt;"","",MID(F158, H158+1, I158-H158-1))</f>
        <v>237</v>
      </c>
      <c r="N158" s="2">
        <f>IF(J158&lt;&gt;"","",LEN(M158))</f>
        <v>3</v>
      </c>
      <c r="O158" s="2">
        <f>IF(J158&lt;&gt;"","",K158*M158)</f>
        <v>6399</v>
      </c>
      <c r="R158" s="1" t="str">
        <v>27,237)?@where()</v>
      </c>
      <c r="S158" s="1" t="str">
        <v>671,516</v>
      </c>
      <c r="T158" s="1" t="str">
        <v>671</v>
      </c>
      <c r="U158" s="1" t="str">
        <v>516</v>
      </c>
      <c r="V158" s="1">
        <v>346236</v>
      </c>
      <c r="AH158" s="1" t="str">
        <v>576,422)!}*</v>
      </c>
      <c r="AI158" s="1" t="str">
        <v>576,422</v>
      </c>
      <c r="AJ158" s="1" t="str">
        <v>576</v>
      </c>
      <c r="AK158" s="1" t="str">
        <v>422</v>
      </c>
      <c r="AL158" s="1">
        <v>243072</v>
      </c>
    </row>
    <row r="159" spans="4:38" x14ac:dyDescent="0.3">
      <c r="D159" s="2">
        <v>156</v>
      </c>
      <c r="E159" s="2">
        <f>SEARCH("mul",$C$4,E158+1)</f>
        <v>3929</v>
      </c>
      <c r="F159" s="2" t="str">
        <f>MID($C$4,E159,$F$1)</f>
        <v>mul(389,541)}'@</v>
      </c>
      <c r="G159" s="3">
        <f>SEARCH("(",F159)</f>
        <v>4</v>
      </c>
      <c r="H159" s="3">
        <f>SEARCH(",",F159)</f>
        <v>8</v>
      </c>
      <c r="I159" s="3">
        <f>SEARCH(")",F159)</f>
        <v>12</v>
      </c>
      <c r="J159" s="2" t="str">
        <f>IF(OR(ISERROR(G159),ISERROR(H159),ISERROR(I159)),"CORRUPT!","")</f>
        <v/>
      </c>
      <c r="K159" s="2" t="str">
        <f>IF(J159&lt;&gt;"","",MID(F159, G159+1, H159-G159-1))</f>
        <v>389</v>
      </c>
      <c r="L159" s="2">
        <f>IF(J159&lt;&gt;"","",LEN(K159))</f>
        <v>3</v>
      </c>
      <c r="M159" s="2" t="str">
        <f>IF(J159&lt;&gt;"","",MID(F159, H159+1, I159-H159-1))</f>
        <v>541</v>
      </c>
      <c r="N159" s="2">
        <f>IF(J159&lt;&gt;"","",LEN(M159))</f>
        <v>3</v>
      </c>
      <c r="O159" s="2">
        <f>IF(J159&lt;&gt;"","",K159*M159)</f>
        <v>210449</v>
      </c>
      <c r="R159" s="1" t="str">
        <v>389,541)}'@when()}(*how()</v>
      </c>
      <c r="S159" s="1" t="str">
        <v>414,213</v>
      </c>
      <c r="T159" s="1" t="str">
        <v>414</v>
      </c>
      <c r="U159" s="1" t="str">
        <v>213</v>
      </c>
      <c r="V159" s="1">
        <v>88182</v>
      </c>
      <c r="AH159" s="1" t="str">
        <v>968,267)</v>
      </c>
      <c r="AI159" s="1" t="str">
        <v>968,267</v>
      </c>
      <c r="AJ159" s="1" t="str">
        <v>968</v>
      </c>
      <c r="AK159" s="1" t="str">
        <v>267</v>
      </c>
      <c r="AL159" s="1">
        <v>258456</v>
      </c>
    </row>
    <row r="160" spans="4:38" x14ac:dyDescent="0.3">
      <c r="D160" s="2">
        <v>157</v>
      </c>
      <c r="E160" s="2">
        <f>SEARCH("mul",$C$4,E159+1)</f>
        <v>3958</v>
      </c>
      <c r="F160" s="2" t="str">
        <f>MID($C$4,E160,$F$1)</f>
        <v>mul(671,516)do(</v>
      </c>
      <c r="G160" s="3">
        <f>SEARCH("(",F160)</f>
        <v>4</v>
      </c>
      <c r="H160" s="3">
        <f>SEARCH(",",F160)</f>
        <v>8</v>
      </c>
      <c r="I160" s="3">
        <f>SEARCH(")",F160)</f>
        <v>12</v>
      </c>
      <c r="J160" s="2" t="str">
        <f>IF(OR(ISERROR(G160),ISERROR(H160),ISERROR(I160)),"CORRUPT!","")</f>
        <v/>
      </c>
      <c r="K160" s="2" t="str">
        <f>IF(J160&lt;&gt;"","",MID(F160, G160+1, H160-G160-1))</f>
        <v>671</v>
      </c>
      <c r="L160" s="2">
        <f>IF(J160&lt;&gt;"","",LEN(K160))</f>
        <v>3</v>
      </c>
      <c r="M160" s="2" t="str">
        <f>IF(J160&lt;&gt;"","",MID(F160, H160+1, I160-H160-1))</f>
        <v>516</v>
      </c>
      <c r="N160" s="2">
        <f>IF(J160&lt;&gt;"","",LEN(M160))</f>
        <v>3</v>
      </c>
      <c r="O160" s="2">
        <f>IF(J160&lt;&gt;"","",K160*M160)</f>
        <v>346236</v>
      </c>
      <c r="R160" s="1" t="str">
        <v>671,516)do() ~select()!*']&gt;&amp;mulwho()when()'!what()why()?'}}!</v>
      </c>
      <c r="S160" s="1" t="str">
        <v>606,917</v>
      </c>
      <c r="T160" s="1" t="str">
        <v>606</v>
      </c>
      <c r="U160" s="1" t="str">
        <v>917</v>
      </c>
      <c r="V160" s="1">
        <v>555702</v>
      </c>
      <c r="AH160" s="1" t="str">
        <v>501,251)&lt;[,</v>
      </c>
      <c r="AI160" s="1" t="str">
        <v>501,251</v>
      </c>
      <c r="AJ160" s="1" t="str">
        <v>501</v>
      </c>
      <c r="AK160" s="1" t="str">
        <v>251</v>
      </c>
      <c r="AL160" s="1">
        <v>125751</v>
      </c>
    </row>
    <row r="161" spans="4:38" x14ac:dyDescent="0.3">
      <c r="D161" s="2">
        <v>158</v>
      </c>
      <c r="E161" s="2">
        <f>SEARCH("mul",$C$4,E160+1)</f>
        <v>3990</v>
      </c>
      <c r="F161" s="2" t="str">
        <f>MID($C$4,E161,$F$1)</f>
        <v>mulwho()when()'</v>
      </c>
      <c r="G161" s="3">
        <f>SEARCH("(",F161)</f>
        <v>7</v>
      </c>
      <c r="H161" s="3" t="e">
        <f>SEARCH(",",F161)</f>
        <v>#VALUE!</v>
      </c>
      <c r="I161" s="3">
        <f>SEARCH(")",F161)</f>
        <v>8</v>
      </c>
      <c r="J161" s="2" t="str">
        <f>IF(OR(ISERROR(G161),ISERROR(H161),ISERROR(I161)),"CORRUPT!","")</f>
        <v>CORRUPT!</v>
      </c>
      <c r="K161" s="2" t="str">
        <f>IF(J161&lt;&gt;"","",MID(F161, G161+1, H161-G161-1))</f>
        <v/>
      </c>
      <c r="L161" s="2" t="str">
        <f>IF(J161&lt;&gt;"","",LEN(K161))</f>
        <v/>
      </c>
      <c r="M161" s="2" t="str">
        <f>IF(J161&lt;&gt;"","",MID(F161, H161+1, I161-H161-1))</f>
        <v/>
      </c>
      <c r="N161" s="2" t="str">
        <f>IF(J161&lt;&gt;"","",LEN(M161))</f>
        <v/>
      </c>
      <c r="O161" s="2" t="str">
        <f>IF(J161&lt;&gt;"","",K161*M161)</f>
        <v/>
      </c>
      <c r="R161" s="1" t="str">
        <v>414,213)$when()]+{why()</v>
      </c>
      <c r="S161" s="1" t="str">
        <v>292,543</v>
      </c>
      <c r="T161" s="1" t="str">
        <v>292</v>
      </c>
      <c r="U161" s="1" t="str">
        <v>543</v>
      </c>
      <c r="V161" s="1">
        <v>158556</v>
      </c>
      <c r="AH161" s="1" t="str">
        <v>999-</v>
      </c>
      <c r="AI161" s="1" t="e">
        <v>#N/A</v>
      </c>
      <c r="AJ161" s="1" t="e">
        <v>#N/A</v>
      </c>
      <c r="AK161" s="1" t="e">
        <v>#N/A</v>
      </c>
      <c r="AL161" s="1">
        <v>0</v>
      </c>
    </row>
    <row r="162" spans="4:38" x14ac:dyDescent="0.3">
      <c r="D162" s="2">
        <v>159</v>
      </c>
      <c r="E162" s="2">
        <f>SEARCH("mul",$C$4,E161+1)</f>
        <v>4022</v>
      </c>
      <c r="F162" s="2" t="str">
        <f>MID($C$4,E162,$F$1)</f>
        <v>mul(414,213)$wh</v>
      </c>
      <c r="G162" s="3">
        <f>SEARCH("(",F162)</f>
        <v>4</v>
      </c>
      <c r="H162" s="3">
        <f>SEARCH(",",F162)</f>
        <v>8</v>
      </c>
      <c r="I162" s="3">
        <f>SEARCH(")",F162)</f>
        <v>12</v>
      </c>
      <c r="J162" s="2" t="str">
        <f>IF(OR(ISERROR(G162),ISERROR(H162),ISERROR(I162)),"CORRUPT!","")</f>
        <v/>
      </c>
      <c r="K162" s="2" t="str">
        <f>IF(J162&lt;&gt;"","",MID(F162, G162+1, H162-G162-1))</f>
        <v>414</v>
      </c>
      <c r="L162" s="2">
        <f>IF(J162&lt;&gt;"","",LEN(K162))</f>
        <v>3</v>
      </c>
      <c r="M162" s="2" t="str">
        <f>IF(J162&lt;&gt;"","",MID(F162, H162+1, I162-H162-1))</f>
        <v>213</v>
      </c>
      <c r="N162" s="2">
        <f>IF(J162&lt;&gt;"","",LEN(M162))</f>
        <v>3</v>
      </c>
      <c r="O162" s="2">
        <f>IF(J162&lt;&gt;"","",K162*M162)</f>
        <v>88182</v>
      </c>
      <c r="R162" s="1" t="str">
        <v>606,917)how()*?^,</v>
      </c>
      <c r="S162" s="1" t="str">
        <v>326,145</v>
      </c>
      <c r="T162" s="1" t="str">
        <v>326</v>
      </c>
      <c r="U162" s="1" t="str">
        <v>145</v>
      </c>
      <c r="V162" s="1">
        <v>47270</v>
      </c>
      <c r="AH162" s="1" t="str">
        <v>61,600)how()~ how()#&amp;</v>
      </c>
      <c r="AI162" s="1" t="str">
        <v>61,600</v>
      </c>
      <c r="AJ162" s="1" t="str">
        <v>61</v>
      </c>
      <c r="AK162" s="1" t="str">
        <v>600</v>
      </c>
      <c r="AL162" s="1">
        <v>36600</v>
      </c>
    </row>
    <row r="163" spans="4:38" x14ac:dyDescent="0.3">
      <c r="D163" s="2">
        <v>160</v>
      </c>
      <c r="E163" s="2">
        <f>SEARCH("mul",$C$4,E162+1)</f>
        <v>4049</v>
      </c>
      <c r="F163" s="2" t="str">
        <f>MID($C$4,E163,$F$1)</f>
        <v>mul(606,917)how</v>
      </c>
      <c r="G163" s="3">
        <f>SEARCH("(",F163)</f>
        <v>4</v>
      </c>
      <c r="H163" s="3">
        <f>SEARCH(",",F163)</f>
        <v>8</v>
      </c>
      <c r="I163" s="3">
        <f>SEARCH(")",F163)</f>
        <v>12</v>
      </c>
      <c r="J163" s="2" t="str">
        <f>IF(OR(ISERROR(G163),ISERROR(H163),ISERROR(I163)),"CORRUPT!","")</f>
        <v/>
      </c>
      <c r="K163" s="2" t="str">
        <f>IF(J163&lt;&gt;"","",MID(F163, G163+1, H163-G163-1))</f>
        <v>606</v>
      </c>
      <c r="L163" s="2">
        <f>IF(J163&lt;&gt;"","",LEN(K163))</f>
        <v>3</v>
      </c>
      <c r="M163" s="2" t="str">
        <f>IF(J163&lt;&gt;"","",MID(F163, H163+1, I163-H163-1))</f>
        <v>917</v>
      </c>
      <c r="N163" s="2">
        <f>IF(J163&lt;&gt;"","",LEN(M163))</f>
        <v>3</v>
      </c>
      <c r="O163" s="2">
        <f>IF(J163&lt;&gt;"","",K163*M163)</f>
        <v>555702</v>
      </c>
      <c r="R163" s="1" t="str">
        <v>292,543)&gt;</v>
      </c>
      <c r="S163" s="1" t="str">
        <v>81,169</v>
      </c>
      <c r="T163" s="1" t="str">
        <v>81</v>
      </c>
      <c r="U163" s="1" t="str">
        <v>169</v>
      </c>
      <c r="V163" s="1">
        <v>13689</v>
      </c>
      <c r="AH163" s="1" t="str">
        <v>488,199)+})who()# @what()</v>
      </c>
      <c r="AI163" s="1" t="str">
        <v>488,199</v>
      </c>
      <c r="AJ163" s="1" t="str">
        <v>488</v>
      </c>
      <c r="AK163" s="1" t="str">
        <v>199</v>
      </c>
      <c r="AL163" s="1">
        <v>97112</v>
      </c>
    </row>
    <row r="164" spans="4:38" x14ac:dyDescent="0.3">
      <c r="D164" s="2">
        <v>161</v>
      </c>
      <c r="E164" s="2">
        <f>SEARCH("mul",$C$4,E163+1)</f>
        <v>4070</v>
      </c>
      <c r="F164" s="2" t="str">
        <f>MID($C$4,E164,$F$1)</f>
        <v>mul(292,543)&gt;mu</v>
      </c>
      <c r="G164" s="3">
        <f>SEARCH("(",F164)</f>
        <v>4</v>
      </c>
      <c r="H164" s="3">
        <f>SEARCH(",",F164)</f>
        <v>8</v>
      </c>
      <c r="I164" s="3">
        <f>SEARCH(")",F164)</f>
        <v>12</v>
      </c>
      <c r="J164" s="2" t="str">
        <f>IF(OR(ISERROR(G164),ISERROR(H164),ISERROR(I164)),"CORRUPT!","")</f>
        <v/>
      </c>
      <c r="K164" s="2" t="str">
        <f>IF(J164&lt;&gt;"","",MID(F164, G164+1, H164-G164-1))</f>
        <v>292</v>
      </c>
      <c r="L164" s="2">
        <f>IF(J164&lt;&gt;"","",LEN(K164))</f>
        <v>3</v>
      </c>
      <c r="M164" s="2" t="str">
        <f>IF(J164&lt;&gt;"","",MID(F164, H164+1, I164-H164-1))</f>
        <v>543</v>
      </c>
      <c r="N164" s="2">
        <f>IF(J164&lt;&gt;"","",LEN(M164))</f>
        <v>3</v>
      </c>
      <c r="O164" s="2">
        <f>IF(J164&lt;&gt;"","",K164*M164)</f>
        <v>158556</v>
      </c>
      <c r="R164" s="1" t="str">
        <v>326,145)*(&amp;!;^:!#'mul;#@~where()&lt;</v>
      </c>
      <c r="S164" s="1" t="str">
        <v>436,774</v>
      </c>
      <c r="T164" s="1" t="str">
        <v>436</v>
      </c>
      <c r="U164" s="1" t="str">
        <v>774</v>
      </c>
      <c r="V164" s="1">
        <v>337464</v>
      </c>
      <c r="AH164" s="1" t="str">
        <v>695,154)!{[</v>
      </c>
      <c r="AI164" s="1" t="str">
        <v>695,154</v>
      </c>
      <c r="AJ164" s="1" t="str">
        <v>695</v>
      </c>
      <c r="AK164" s="1" t="str">
        <v>154</v>
      </c>
      <c r="AL164" s="1">
        <v>107030</v>
      </c>
    </row>
    <row r="165" spans="4:38" x14ac:dyDescent="0.3">
      <c r="D165" s="2">
        <v>162</v>
      </c>
      <c r="E165" s="2">
        <f>SEARCH("mul",$C$4,E164+1)</f>
        <v>4083</v>
      </c>
      <c r="F165" s="2" t="str">
        <f>MID($C$4,E165,$F$1)</f>
        <v>mul(326,145)*(&amp;</v>
      </c>
      <c r="G165" s="3">
        <f>SEARCH("(",F165)</f>
        <v>4</v>
      </c>
      <c r="H165" s="3">
        <f>SEARCH(",",F165)</f>
        <v>8</v>
      </c>
      <c r="I165" s="3">
        <f>SEARCH(")",F165)</f>
        <v>12</v>
      </c>
      <c r="J165" s="2" t="str">
        <f>IF(OR(ISERROR(G165),ISERROR(H165),ISERROR(I165)),"CORRUPT!","")</f>
        <v/>
      </c>
      <c r="K165" s="2" t="str">
        <f>IF(J165&lt;&gt;"","",MID(F165, G165+1, H165-G165-1))</f>
        <v>326</v>
      </c>
      <c r="L165" s="2">
        <f>IF(J165&lt;&gt;"","",LEN(K165))</f>
        <v>3</v>
      </c>
      <c r="M165" s="2" t="str">
        <f>IF(J165&lt;&gt;"","",MID(F165, H165+1, I165-H165-1))</f>
        <v>145</v>
      </c>
      <c r="N165" s="2">
        <f>IF(J165&lt;&gt;"","",LEN(M165))</f>
        <v>3</v>
      </c>
      <c r="O165" s="2">
        <f>IF(J165&lt;&gt;"","",K165*M165)</f>
        <v>47270</v>
      </c>
      <c r="R165" s="1" t="str">
        <v>81,169)</v>
      </c>
      <c r="S165" s="1" t="str">
        <v>425,438</v>
      </c>
      <c r="T165" s="1" t="str">
        <v>425</v>
      </c>
      <c r="U165" s="1" t="str">
        <v>438</v>
      </c>
      <c r="V165" s="1">
        <v>186150</v>
      </c>
      <c r="AH165" s="1" t="str">
        <v>454,729)what():(&lt;%</v>
      </c>
      <c r="AI165" s="1" t="str">
        <v>454,729</v>
      </c>
      <c r="AJ165" s="1" t="str">
        <v>454</v>
      </c>
      <c r="AK165" s="1" t="str">
        <v>729</v>
      </c>
      <c r="AL165" s="1">
        <v>330966</v>
      </c>
    </row>
    <row r="166" spans="4:38" x14ac:dyDescent="0.3">
      <c r="D166" s="2">
        <v>163</v>
      </c>
      <c r="E166" s="2">
        <f>SEARCH("mul",$C$4,E165+1)</f>
        <v>4105</v>
      </c>
      <c r="F166" s="2" t="str">
        <f>MID($C$4,E166,$F$1)</f>
        <v>mul;#@~where()&lt;</v>
      </c>
      <c r="G166" s="3">
        <f>SEARCH("(",F166)</f>
        <v>13</v>
      </c>
      <c r="H166" s="3" t="e">
        <f>SEARCH(",",F166)</f>
        <v>#VALUE!</v>
      </c>
      <c r="I166" s="3">
        <f>SEARCH(")",F166)</f>
        <v>14</v>
      </c>
      <c r="J166" s="2" t="str">
        <f>IF(OR(ISERROR(G166),ISERROR(H166),ISERROR(I166)),"CORRUPT!","")</f>
        <v>CORRUPT!</v>
      </c>
      <c r="K166" s="2" t="str">
        <f>IF(J166&lt;&gt;"","",MID(F166, G166+1, H166-G166-1))</f>
        <v/>
      </c>
      <c r="L166" s="2" t="str">
        <f>IF(J166&lt;&gt;"","",LEN(K166))</f>
        <v/>
      </c>
      <c r="M166" s="2" t="str">
        <f>IF(J166&lt;&gt;"","",MID(F166, H166+1, I166-H166-1))</f>
        <v/>
      </c>
      <c r="N166" s="2" t="str">
        <f>IF(J166&lt;&gt;"","",LEN(M166))</f>
        <v/>
      </c>
      <c r="O166" s="2" t="str">
        <f>IF(J166&lt;&gt;"","",K166*M166)</f>
        <v/>
      </c>
      <c r="R166" s="1" t="str">
        <v>436,774)+when()%+where()-[}+</v>
      </c>
      <c r="S166" s="1" t="str">
        <v>76,978</v>
      </c>
      <c r="T166" s="1" t="str">
        <v>76</v>
      </c>
      <c r="U166" s="1" t="str">
        <v>978</v>
      </c>
      <c r="V166" s="1">
        <v>74328</v>
      </c>
      <c r="AH166" s="1" t="str">
        <v>656,115)from()!]when()when():?,</v>
      </c>
      <c r="AI166" s="1" t="str">
        <v>656,115</v>
      </c>
      <c r="AJ166" s="1" t="str">
        <v>656</v>
      </c>
      <c r="AK166" s="1" t="str">
        <v>115</v>
      </c>
      <c r="AL166" s="1">
        <v>75440</v>
      </c>
    </row>
    <row r="167" spans="4:38" x14ac:dyDescent="0.3">
      <c r="D167" s="2">
        <v>164</v>
      </c>
      <c r="E167" s="2">
        <f>SEARCH("mul",$C$4,E166+1)</f>
        <v>4120</v>
      </c>
      <c r="F167" s="2" t="str">
        <f>MID($C$4,E167,$F$1)</f>
        <v>mul(81,169)mul(</v>
      </c>
      <c r="G167" s="3">
        <f>SEARCH("(",F167)</f>
        <v>4</v>
      </c>
      <c r="H167" s="3">
        <f>SEARCH(",",F167)</f>
        <v>7</v>
      </c>
      <c r="I167" s="3">
        <f>SEARCH(")",F167)</f>
        <v>11</v>
      </c>
      <c r="J167" s="2" t="str">
        <f>IF(OR(ISERROR(G167),ISERROR(H167),ISERROR(I167)),"CORRUPT!","")</f>
        <v/>
      </c>
      <c r="K167" s="2" t="str">
        <f>IF(J167&lt;&gt;"","",MID(F167, G167+1, H167-G167-1))</f>
        <v>81</v>
      </c>
      <c r="L167" s="2">
        <f>IF(J167&lt;&gt;"","",LEN(K167))</f>
        <v>2</v>
      </c>
      <c r="M167" s="2" t="str">
        <f>IF(J167&lt;&gt;"","",MID(F167, H167+1, I167-H167-1))</f>
        <v>169</v>
      </c>
      <c r="N167" s="2">
        <f>IF(J167&lt;&gt;"","",LEN(M167))</f>
        <v>3</v>
      </c>
      <c r="O167" s="2">
        <f>IF(J167&lt;&gt;"","",K167*M167)</f>
        <v>13689</v>
      </c>
      <c r="R167" s="1" t="str">
        <v>425,438)when()/}what()</v>
      </c>
      <c r="S167" s="1" t="str">
        <v>39,372</v>
      </c>
      <c r="T167" s="1" t="str">
        <v>39</v>
      </c>
      <c r="U167" s="1" t="str">
        <v>372</v>
      </c>
      <c r="V167" s="1">
        <v>14508</v>
      </c>
      <c r="AH167" s="1" t="str">
        <v>536,421)}select()when()&lt;</v>
      </c>
      <c r="AI167" s="1" t="str">
        <v>536,421</v>
      </c>
      <c r="AJ167" s="1" t="str">
        <v>536</v>
      </c>
      <c r="AK167" s="1" t="str">
        <v>421</v>
      </c>
      <c r="AL167" s="1">
        <v>225656</v>
      </c>
    </row>
    <row r="168" spans="4:38" x14ac:dyDescent="0.3">
      <c r="D168" s="2">
        <v>165</v>
      </c>
      <c r="E168" s="2">
        <f>SEARCH("mul",$C$4,E167+1)</f>
        <v>4131</v>
      </c>
      <c r="F168" s="2" t="str">
        <f>MID($C$4,E168,$F$1)</f>
        <v>mul(436,774)+wh</v>
      </c>
      <c r="G168" s="3">
        <f>SEARCH("(",F168)</f>
        <v>4</v>
      </c>
      <c r="H168" s="3">
        <f>SEARCH(",",F168)</f>
        <v>8</v>
      </c>
      <c r="I168" s="3">
        <f>SEARCH(")",F168)</f>
        <v>12</v>
      </c>
      <c r="J168" s="2" t="str">
        <f>IF(OR(ISERROR(G168),ISERROR(H168),ISERROR(I168)),"CORRUPT!","")</f>
        <v/>
      </c>
      <c r="K168" s="2" t="str">
        <f>IF(J168&lt;&gt;"","",MID(F168, G168+1, H168-G168-1))</f>
        <v>436</v>
      </c>
      <c r="L168" s="2">
        <f>IF(J168&lt;&gt;"","",LEN(K168))</f>
        <v>3</v>
      </c>
      <c r="M168" s="2" t="str">
        <f>IF(J168&lt;&gt;"","",MID(F168, H168+1, I168-H168-1))</f>
        <v>774</v>
      </c>
      <c r="N168" s="2">
        <f>IF(J168&lt;&gt;"","",LEN(M168))</f>
        <v>3</v>
      </c>
      <c r="O168" s="2">
        <f>IF(J168&lt;&gt;"","",K168*M168)</f>
        <v>337464</v>
      </c>
      <c r="R168" s="1" t="str">
        <v>76,978)&gt;%;,from()select()</v>
      </c>
      <c r="S168" s="1" t="str">
        <v>905,968from(843,581</v>
      </c>
      <c r="T168" s="1" t="str">
        <v>905</v>
      </c>
      <c r="U168" s="1" t="str">
        <v>968from(843,581</v>
      </c>
      <c r="V168" s="1">
        <v>0</v>
      </c>
      <c r="AH168" s="1" t="str">
        <v>550,82)(:</v>
      </c>
      <c r="AI168" s="1" t="str">
        <v>550,82</v>
      </c>
      <c r="AJ168" s="1" t="str">
        <v>550</v>
      </c>
      <c r="AK168" s="1" t="str">
        <v>82</v>
      </c>
      <c r="AL168" s="1">
        <v>45100</v>
      </c>
    </row>
    <row r="169" spans="4:38" x14ac:dyDescent="0.3">
      <c r="D169" s="2">
        <v>166</v>
      </c>
      <c r="E169" s="2">
        <f>SEARCH("mul",$C$4,E168+1)</f>
        <v>4163</v>
      </c>
      <c r="F169" s="2" t="str">
        <f>MID($C$4,E169,$F$1)</f>
        <v>mul(425,438)whe</v>
      </c>
      <c r="G169" s="3">
        <f>SEARCH("(",F169)</f>
        <v>4</v>
      </c>
      <c r="H169" s="3">
        <f>SEARCH(",",F169)</f>
        <v>8</v>
      </c>
      <c r="I169" s="3">
        <f>SEARCH(")",F169)</f>
        <v>12</v>
      </c>
      <c r="J169" s="2" t="str">
        <f>IF(OR(ISERROR(G169),ISERROR(H169),ISERROR(I169)),"CORRUPT!","")</f>
        <v/>
      </c>
      <c r="K169" s="2" t="str">
        <f>IF(J169&lt;&gt;"","",MID(F169, G169+1, H169-G169-1))</f>
        <v>425</v>
      </c>
      <c r="L169" s="2">
        <f>IF(J169&lt;&gt;"","",LEN(K169))</f>
        <v>3</v>
      </c>
      <c r="M169" s="2" t="str">
        <f>IF(J169&lt;&gt;"","",MID(F169, H169+1, I169-H169-1))</f>
        <v>438</v>
      </c>
      <c r="N169" s="2">
        <f>IF(J169&lt;&gt;"","",LEN(M169))</f>
        <v>3</v>
      </c>
      <c r="O169" s="2">
        <f>IF(J169&lt;&gt;"","",K169*M169)</f>
        <v>186150</v>
      </c>
      <c r="R169" s="1" t="str">
        <v>39,372)~[when()what()!+#who()]~</v>
      </c>
      <c r="S169" s="1" t="str">
        <v>768,210</v>
      </c>
      <c r="T169" s="1" t="str">
        <v>768</v>
      </c>
      <c r="U169" s="1" t="str">
        <v>210</v>
      </c>
      <c r="V169" s="1">
        <v>161280</v>
      </c>
      <c r="AH169" s="1" t="str">
        <v>482,346)}%when()&gt;+</v>
      </c>
      <c r="AI169" s="1" t="str">
        <v>482,346</v>
      </c>
      <c r="AJ169" s="1" t="str">
        <v>482</v>
      </c>
      <c r="AK169" s="1" t="str">
        <v>346</v>
      </c>
      <c r="AL169" s="1">
        <v>166772</v>
      </c>
    </row>
    <row r="170" spans="4:38" x14ac:dyDescent="0.3">
      <c r="D170" s="2">
        <v>167</v>
      </c>
      <c r="E170" s="2">
        <f>SEARCH("mul",$C$4,E169+1)</f>
        <v>4189</v>
      </c>
      <c r="F170" s="2" t="str">
        <f>MID($C$4,E170,$F$1)</f>
        <v>mul(76,978)&gt;%;,</v>
      </c>
      <c r="G170" s="3">
        <f>SEARCH("(",F170)</f>
        <v>4</v>
      </c>
      <c r="H170" s="3">
        <f>SEARCH(",",F170)</f>
        <v>7</v>
      </c>
      <c r="I170" s="3">
        <f>SEARCH(")",F170)</f>
        <v>11</v>
      </c>
      <c r="J170" s="2" t="str">
        <f>IF(OR(ISERROR(G170),ISERROR(H170),ISERROR(I170)),"CORRUPT!","")</f>
        <v/>
      </c>
      <c r="K170" s="2" t="str">
        <f>IF(J170&lt;&gt;"","",MID(F170, G170+1, H170-G170-1))</f>
        <v>76</v>
      </c>
      <c r="L170" s="2">
        <f>IF(J170&lt;&gt;"","",LEN(K170))</f>
        <v>2</v>
      </c>
      <c r="M170" s="2" t="str">
        <f>IF(J170&lt;&gt;"","",MID(F170, H170+1, I170-H170-1))</f>
        <v>978</v>
      </c>
      <c r="N170" s="2">
        <f>IF(J170&lt;&gt;"","",LEN(M170))</f>
        <v>3</v>
      </c>
      <c r="O170" s="2">
        <f>IF(J170&lt;&gt;"","",K170*M170)</f>
        <v>74328</v>
      </c>
      <c r="R170" s="1" t="str">
        <v>905,968from(843,581)(from()from()~what()how()when()</v>
      </c>
      <c r="S170" s="1" t="str">
        <v>68,62</v>
      </c>
      <c r="T170" s="1" t="str">
        <v>68</v>
      </c>
      <c r="U170" s="1" t="str">
        <v>62</v>
      </c>
      <c r="V170" s="1">
        <v>4216</v>
      </c>
      <c r="AH170" s="1" t="str">
        <v>189,780)from()how()#&lt; ^why()&amp;who()where(){ &gt;:</v>
      </c>
      <c r="AI170" s="1" t="str">
        <v>189,780</v>
      </c>
      <c r="AJ170" s="1" t="str">
        <v>189</v>
      </c>
      <c r="AK170" s="1" t="str">
        <v>780</v>
      </c>
      <c r="AL170" s="1">
        <v>147420</v>
      </c>
    </row>
    <row r="171" spans="4:38" x14ac:dyDescent="0.3">
      <c r="D171" s="2">
        <v>168</v>
      </c>
      <c r="E171" s="2">
        <f>SEARCH("mul",$C$4,E170+1)</f>
        <v>4218</v>
      </c>
      <c r="F171" s="2" t="str">
        <f>MID($C$4,E171,$F$1)</f>
        <v>mul(39,372)~[wh</v>
      </c>
      <c r="G171" s="3">
        <f>SEARCH("(",F171)</f>
        <v>4</v>
      </c>
      <c r="H171" s="3">
        <f>SEARCH(",",F171)</f>
        <v>7</v>
      </c>
      <c r="I171" s="3">
        <f>SEARCH(")",F171)</f>
        <v>11</v>
      </c>
      <c r="J171" s="2" t="str">
        <f>IF(OR(ISERROR(G171),ISERROR(H171),ISERROR(I171)),"CORRUPT!","")</f>
        <v/>
      </c>
      <c r="K171" s="2" t="str">
        <f>IF(J171&lt;&gt;"","",MID(F171, G171+1, H171-G171-1))</f>
        <v>39</v>
      </c>
      <c r="L171" s="2">
        <f>IF(J171&lt;&gt;"","",LEN(K171))</f>
        <v>2</v>
      </c>
      <c r="M171" s="2" t="str">
        <f>IF(J171&lt;&gt;"","",MID(F171, H171+1, I171-H171-1))</f>
        <v>372</v>
      </c>
      <c r="N171" s="2">
        <f>IF(J171&lt;&gt;"","",LEN(M171))</f>
        <v>3</v>
      </c>
      <c r="O171" s="2">
        <f>IF(J171&lt;&gt;"","",K171*M171)</f>
        <v>14508</v>
      </c>
      <c r="R171" s="1" t="str">
        <v>768,210)*</v>
      </c>
      <c r="S171" s="1" t="str">
        <v>777,345%{/select(</v>
      </c>
      <c r="T171" s="1" t="str">
        <v>777</v>
      </c>
      <c r="U171" s="1" t="str">
        <v>345%{/select(</v>
      </c>
      <c r="V171" s="1">
        <v>0</v>
      </c>
      <c r="AH171" s="1" t="str">
        <v>638,986)*+&lt; ;</v>
      </c>
      <c r="AI171" s="1" t="str">
        <v>638,986</v>
      </c>
      <c r="AJ171" s="1" t="str">
        <v>638</v>
      </c>
      <c r="AK171" s="1" t="str">
        <v>986</v>
      </c>
      <c r="AL171" s="1">
        <v>629068</v>
      </c>
    </row>
    <row r="172" spans="4:38" x14ac:dyDescent="0.3">
      <c r="D172" s="2">
        <v>169</v>
      </c>
      <c r="E172" s="2">
        <f>SEARCH("mul",$C$4,E171+1)</f>
        <v>4253</v>
      </c>
      <c r="F172" s="2" t="str">
        <f>MID($C$4,E172,$F$1)</f>
        <v>mul(905,968from</v>
      </c>
      <c r="G172" s="3">
        <f>SEARCH("(",F172)</f>
        <v>4</v>
      </c>
      <c r="H172" s="3">
        <f>SEARCH(",",F172)</f>
        <v>8</v>
      </c>
      <c r="I172" s="3" t="e">
        <f>SEARCH(")",F172)</f>
        <v>#VALUE!</v>
      </c>
      <c r="J172" s="2" t="str">
        <f>IF(OR(ISERROR(G172),ISERROR(H172),ISERROR(I172)),"CORRUPT!","")</f>
        <v>CORRUPT!</v>
      </c>
      <c r="K172" s="2" t="str">
        <f>IF(J172&lt;&gt;"","",MID(F172, G172+1, H172-G172-1))</f>
        <v/>
      </c>
      <c r="L172" s="2" t="str">
        <f>IF(J172&lt;&gt;"","",LEN(K172))</f>
        <v/>
      </c>
      <c r="M172" s="2" t="str">
        <f>IF(J172&lt;&gt;"","",MID(F172, H172+1, I172-H172-1))</f>
        <v/>
      </c>
      <c r="N172" s="2" t="str">
        <f>IF(J172&lt;&gt;"","",LEN(M172))</f>
        <v/>
      </c>
      <c r="O172" s="2" t="str">
        <f>IF(J172&lt;&gt;"","",K172*M172)</f>
        <v/>
      </c>
      <c r="R172" s="1" t="str">
        <v>68,62)</v>
      </c>
      <c r="S172" s="1" t="str">
        <v>458,251</v>
      </c>
      <c r="T172" s="1" t="str">
        <v>458</v>
      </c>
      <c r="U172" s="1" t="str">
        <v>251</v>
      </c>
      <c r="V172" s="1">
        <v>114958</v>
      </c>
      <c r="AH172" s="1" t="str">
        <v>131,393),how(419,400)*@how()</v>
      </c>
      <c r="AI172" s="1" t="str">
        <v>131,393</v>
      </c>
      <c r="AJ172" s="1" t="str">
        <v>131</v>
      </c>
      <c r="AK172" s="1" t="str">
        <v>393</v>
      </c>
      <c r="AL172" s="1">
        <v>51483</v>
      </c>
    </row>
    <row r="173" spans="4:38" x14ac:dyDescent="0.3">
      <c r="D173" s="2">
        <v>170</v>
      </c>
      <c r="E173" s="2">
        <f>SEARCH("mul",$C$4,E172+1)</f>
        <v>4308</v>
      </c>
      <c r="F173" s="2" t="str">
        <f>MID($C$4,E173,$F$1)</f>
        <v>mul(768,210)*mu</v>
      </c>
      <c r="G173" s="3">
        <f>SEARCH("(",F173)</f>
        <v>4</v>
      </c>
      <c r="H173" s="3">
        <f>SEARCH(",",F173)</f>
        <v>8</v>
      </c>
      <c r="I173" s="3">
        <f>SEARCH(")",F173)</f>
        <v>12</v>
      </c>
      <c r="J173" s="2" t="str">
        <f>IF(OR(ISERROR(G173),ISERROR(H173),ISERROR(I173)),"CORRUPT!","")</f>
        <v/>
      </c>
      <c r="K173" s="2" t="str">
        <f>IF(J173&lt;&gt;"","",MID(F173, G173+1, H173-G173-1))</f>
        <v>768</v>
      </c>
      <c r="L173" s="2">
        <f>IF(J173&lt;&gt;"","",LEN(K173))</f>
        <v>3</v>
      </c>
      <c r="M173" s="2" t="str">
        <f>IF(J173&lt;&gt;"","",MID(F173, H173+1, I173-H173-1))</f>
        <v>210</v>
      </c>
      <c r="N173" s="2">
        <f>IF(J173&lt;&gt;"","",LEN(M173))</f>
        <v>3</v>
      </c>
      <c r="O173" s="2">
        <f>IF(J173&lt;&gt;"","",K173*M173)</f>
        <v>161280</v>
      </c>
      <c r="R173" s="1" t="str">
        <v>777,345%{/select()%</v>
      </c>
      <c r="S173" s="1" t="str">
        <v>810,199</v>
      </c>
      <c r="T173" s="1" t="str">
        <v>810</v>
      </c>
      <c r="U173" s="1" t="str">
        <v>199</v>
      </c>
      <c r="V173" s="1">
        <v>161190</v>
      </c>
      <c r="AH173" s="1" t="str">
        <v>856,729)who()$$[$[select()~&lt;</v>
      </c>
      <c r="AI173" s="1" t="str">
        <v>856,729</v>
      </c>
      <c r="AJ173" s="1" t="str">
        <v>856</v>
      </c>
      <c r="AK173" s="1" t="str">
        <v>729</v>
      </c>
      <c r="AL173" s="1">
        <v>624024</v>
      </c>
    </row>
    <row r="174" spans="4:38" x14ac:dyDescent="0.3">
      <c r="D174" s="2">
        <v>171</v>
      </c>
      <c r="E174" s="2">
        <f>SEARCH("mul",$C$4,E173+1)</f>
        <v>4321</v>
      </c>
      <c r="F174" s="2" t="str">
        <f>MID($C$4,E174,$F$1)</f>
        <v>mul(68,62)mul(7</v>
      </c>
      <c r="G174" s="3">
        <f>SEARCH("(",F174)</f>
        <v>4</v>
      </c>
      <c r="H174" s="3">
        <f>SEARCH(",",F174)</f>
        <v>7</v>
      </c>
      <c r="I174" s="3">
        <f>SEARCH(")",F174)</f>
        <v>10</v>
      </c>
      <c r="J174" s="2" t="str">
        <f>IF(OR(ISERROR(G174),ISERROR(H174),ISERROR(I174)),"CORRUPT!","")</f>
        <v/>
      </c>
      <c r="K174" s="2" t="str">
        <f>IF(J174&lt;&gt;"","",MID(F174, G174+1, H174-G174-1))</f>
        <v>68</v>
      </c>
      <c r="L174" s="2">
        <f>IF(J174&lt;&gt;"","",LEN(K174))</f>
        <v>2</v>
      </c>
      <c r="M174" s="2" t="str">
        <f>IF(J174&lt;&gt;"","",MID(F174, H174+1, I174-H174-1))</f>
        <v>62</v>
      </c>
      <c r="N174" s="2">
        <f>IF(J174&lt;&gt;"","",LEN(M174))</f>
        <v>2</v>
      </c>
      <c r="O174" s="2">
        <f>IF(J174&lt;&gt;"","",K174*M174)</f>
        <v>4216</v>
      </c>
      <c r="R174" s="1" t="str">
        <v>458,251));what())how()where()how()when()</v>
      </c>
      <c r="S174" s="1" t="str">
        <v>252,749</v>
      </c>
      <c r="T174" s="1" t="str">
        <v>252</v>
      </c>
      <c r="U174" s="1" t="str">
        <v>749</v>
      </c>
      <c r="V174" s="1">
        <v>188748</v>
      </c>
      <c r="AH174" s="1" t="str">
        <v>553,105)why(720,700)']</v>
      </c>
      <c r="AI174" s="1" t="str">
        <v>553,105</v>
      </c>
      <c r="AJ174" s="1" t="str">
        <v>553</v>
      </c>
      <c r="AK174" s="1" t="str">
        <v>105</v>
      </c>
      <c r="AL174" s="1">
        <v>58065</v>
      </c>
    </row>
    <row r="175" spans="4:38" x14ac:dyDescent="0.3">
      <c r="D175" s="2">
        <v>172</v>
      </c>
      <c r="E175" s="2">
        <f>SEARCH("mul",$C$4,E174+1)</f>
        <v>4331</v>
      </c>
      <c r="F175" s="2" t="str">
        <f>MID($C$4,E175,$F$1)</f>
        <v>mul(777,345%{/s</v>
      </c>
      <c r="G175" s="3">
        <f>SEARCH("(",F175)</f>
        <v>4</v>
      </c>
      <c r="H175" s="3">
        <f>SEARCH(",",F175)</f>
        <v>8</v>
      </c>
      <c r="I175" s="3" t="e">
        <f>SEARCH(")",F175)</f>
        <v>#VALUE!</v>
      </c>
      <c r="J175" s="2" t="str">
        <f>IF(OR(ISERROR(G175),ISERROR(H175),ISERROR(I175)),"CORRUPT!","")</f>
        <v>CORRUPT!</v>
      </c>
      <c r="K175" s="2" t="str">
        <f>IF(J175&lt;&gt;"","",MID(F175, G175+1, H175-G175-1))</f>
        <v/>
      </c>
      <c r="L175" s="2" t="str">
        <f>IF(J175&lt;&gt;"","",LEN(K175))</f>
        <v/>
      </c>
      <c r="M175" s="2" t="str">
        <f>IF(J175&lt;&gt;"","",MID(F175, H175+1, I175-H175-1))</f>
        <v/>
      </c>
      <c r="N175" s="2" t="str">
        <f>IF(J175&lt;&gt;"","",LEN(M175))</f>
        <v/>
      </c>
      <c r="O175" s="2" t="str">
        <f>IF(J175&lt;&gt;"","",K175*M175)</f>
        <v/>
      </c>
      <c r="R175" s="1" t="str">
        <v>810,199)&lt;~</v>
      </c>
      <c r="S175" s="1" t="str">
        <v>915,327</v>
      </c>
      <c r="T175" s="1" t="str">
        <v>915</v>
      </c>
      <c r="U175" s="1" t="str">
        <v>327</v>
      </c>
      <c r="V175" s="1">
        <v>299205</v>
      </c>
      <c r="AH175" s="1" t="str">
        <v>780,579)}what()select()who()~//}^</v>
      </c>
      <c r="AI175" s="1" t="str">
        <v>780,579</v>
      </c>
      <c r="AJ175" s="1" t="str">
        <v>780</v>
      </c>
      <c r="AK175" s="1" t="str">
        <v>579</v>
      </c>
      <c r="AL175" s="1">
        <v>451620</v>
      </c>
    </row>
    <row r="176" spans="4:38" x14ac:dyDescent="0.3">
      <c r="D176" s="2">
        <v>173</v>
      </c>
      <c r="E176" s="2">
        <f>SEARCH("mul",$C$4,E175+1)</f>
        <v>4354</v>
      </c>
      <c r="F176" s="2" t="str">
        <f>MID($C$4,E176,$F$1)</f>
        <v>mul(458,251));w</v>
      </c>
      <c r="G176" s="3">
        <f>SEARCH("(",F176)</f>
        <v>4</v>
      </c>
      <c r="H176" s="3">
        <f>SEARCH(",",F176)</f>
        <v>8</v>
      </c>
      <c r="I176" s="3">
        <f>SEARCH(")",F176)</f>
        <v>12</v>
      </c>
      <c r="J176" s="2" t="str">
        <f>IF(OR(ISERROR(G176),ISERROR(H176),ISERROR(I176)),"CORRUPT!","")</f>
        <v/>
      </c>
      <c r="K176" s="2" t="str">
        <f>IF(J176&lt;&gt;"","",MID(F176, G176+1, H176-G176-1))</f>
        <v>458</v>
      </c>
      <c r="L176" s="2">
        <f>IF(J176&lt;&gt;"","",LEN(K176))</f>
        <v>3</v>
      </c>
      <c r="M176" s="2" t="str">
        <f>IF(J176&lt;&gt;"","",MID(F176, H176+1, I176-H176-1))</f>
        <v>251</v>
      </c>
      <c r="N176" s="2">
        <f>IF(J176&lt;&gt;"","",LEN(M176))</f>
        <v>3</v>
      </c>
      <c r="O176" s="2">
        <f>IF(J176&lt;&gt;"","",K176*M176)</f>
        <v>114958</v>
      </c>
      <c r="R176" s="1" t="str">
        <v>252,749)don't()</v>
      </c>
      <c r="S176" s="1" t="str">
        <v>608,270</v>
      </c>
      <c r="T176" s="1" t="str">
        <v>608</v>
      </c>
      <c r="U176" s="1" t="str">
        <v>270</v>
      </c>
      <c r="V176" s="1">
        <v>164160</v>
      </c>
      <c r="AH176" s="1" t="str">
        <v>811,393))/&lt;#,</v>
      </c>
      <c r="AI176" s="1" t="str">
        <v>811,393</v>
      </c>
      <c r="AJ176" s="1" t="str">
        <v>811</v>
      </c>
      <c r="AK176" s="1" t="str">
        <v>393</v>
      </c>
      <c r="AL176" s="1">
        <v>318723</v>
      </c>
    </row>
    <row r="177" spans="4:38" x14ac:dyDescent="0.3">
      <c r="D177" s="2">
        <v>174</v>
      </c>
      <c r="E177" s="2">
        <f>SEARCH("mul",$C$4,E176+1)</f>
        <v>4398</v>
      </c>
      <c r="F177" s="2" t="str">
        <f>MID($C$4,E177,$F$1)</f>
        <v>mul(810,199)&lt;~m</v>
      </c>
      <c r="G177" s="3">
        <f>SEARCH("(",F177)</f>
        <v>4</v>
      </c>
      <c r="H177" s="3">
        <f>SEARCH(",",F177)</f>
        <v>8</v>
      </c>
      <c r="I177" s="3">
        <f>SEARCH(")",F177)</f>
        <v>12</v>
      </c>
      <c r="J177" s="2" t="str">
        <f>IF(OR(ISERROR(G177),ISERROR(H177),ISERROR(I177)),"CORRUPT!","")</f>
        <v/>
      </c>
      <c r="K177" s="2" t="str">
        <f>IF(J177&lt;&gt;"","",MID(F177, G177+1, H177-G177-1))</f>
        <v>810</v>
      </c>
      <c r="L177" s="2">
        <f>IF(J177&lt;&gt;"","",LEN(K177))</f>
        <v>3</v>
      </c>
      <c r="M177" s="2" t="str">
        <f>IF(J177&lt;&gt;"","",MID(F177, H177+1, I177-H177-1))</f>
        <v>199</v>
      </c>
      <c r="N177" s="2">
        <f>IF(J177&lt;&gt;"","",LEN(M177))</f>
        <v>3</v>
      </c>
      <c r="O177" s="2">
        <f>IF(J177&lt;&gt;"","",K177*M177)</f>
        <v>161190</v>
      </c>
      <c r="R177" s="1" t="str">
        <v xml:space="preserve">915,327)(: </v>
      </c>
      <c r="S177" s="1" t="str">
        <v>328,665</v>
      </c>
      <c r="T177" s="1" t="str">
        <v>328</v>
      </c>
      <c r="U177" s="1" t="str">
        <v>665</v>
      </c>
      <c r="V177" s="1">
        <v>218120</v>
      </c>
      <c r="AH177" s="1" t="str">
        <v>530,118)@'%&lt;~</v>
      </c>
      <c r="AI177" s="1" t="str">
        <v>530,118</v>
      </c>
      <c r="AJ177" s="1" t="str">
        <v>530</v>
      </c>
      <c r="AK177" s="1" t="str">
        <v>118</v>
      </c>
      <c r="AL177" s="1">
        <v>62540</v>
      </c>
    </row>
    <row r="178" spans="4:38" x14ac:dyDescent="0.3">
      <c r="D178" s="2">
        <v>175</v>
      </c>
      <c r="E178" s="2">
        <f>SEARCH("mul",$C$4,E177+1)</f>
        <v>4412</v>
      </c>
      <c r="F178" s="2" t="str">
        <f>MID($C$4,E178,$F$1)</f>
        <v>mul(252,749)don</v>
      </c>
      <c r="G178" s="3">
        <f>SEARCH("(",F178)</f>
        <v>4</v>
      </c>
      <c r="H178" s="3">
        <f>SEARCH(",",F178)</f>
        <v>8</v>
      </c>
      <c r="I178" s="3">
        <f>SEARCH(")",F178)</f>
        <v>12</v>
      </c>
      <c r="J178" s="2" t="str">
        <f>IF(OR(ISERROR(G178),ISERROR(H178),ISERROR(I178)),"CORRUPT!","")</f>
        <v/>
      </c>
      <c r="K178" s="2" t="str">
        <f>IF(J178&lt;&gt;"","",MID(F178, G178+1, H178-G178-1))</f>
        <v>252</v>
      </c>
      <c r="L178" s="2">
        <f>IF(J178&lt;&gt;"","",LEN(K178))</f>
        <v>3</v>
      </c>
      <c r="M178" s="2" t="str">
        <f>IF(J178&lt;&gt;"","",MID(F178, H178+1, I178-H178-1))</f>
        <v>749</v>
      </c>
      <c r="N178" s="2">
        <f>IF(J178&lt;&gt;"","",LEN(M178))</f>
        <v>3</v>
      </c>
      <c r="O178" s="2">
        <f>IF(J178&lt;&gt;"","",K178*M178)</f>
        <v>188748</v>
      </c>
      <c r="R178" s="1" t="str">
        <v>608,270)&lt;%[!}-&amp;</v>
      </c>
      <c r="S178" s="1" t="str">
        <v>836,471</v>
      </c>
      <c r="T178" s="1" t="str">
        <v>836</v>
      </c>
      <c r="U178" s="1" t="str">
        <v>471</v>
      </c>
      <c r="V178" s="1">
        <v>393756</v>
      </c>
      <c r="AH178" s="1" t="str">
        <v>640,727)'-]:-:]+</v>
      </c>
      <c r="AI178" s="1" t="str">
        <v>640,727</v>
      </c>
      <c r="AJ178" s="1" t="str">
        <v>640</v>
      </c>
      <c r="AK178" s="1" t="str">
        <v>727</v>
      </c>
      <c r="AL178" s="1">
        <v>465280</v>
      </c>
    </row>
    <row r="179" spans="4:38" x14ac:dyDescent="0.3">
      <c r="D179" s="2">
        <v>176</v>
      </c>
      <c r="E179" s="2">
        <f>SEARCH("mul",$C$4,E178+1)</f>
        <v>4431</v>
      </c>
      <c r="F179" s="2" t="str">
        <f>MID($C$4,E179,$F$1)</f>
        <v xml:space="preserve">mul(915,327)(: </v>
      </c>
      <c r="G179" s="3">
        <f>SEARCH("(",F179)</f>
        <v>4</v>
      </c>
      <c r="H179" s="3">
        <f>SEARCH(",",F179)</f>
        <v>8</v>
      </c>
      <c r="I179" s="3">
        <f>SEARCH(")",F179)</f>
        <v>12</v>
      </c>
      <c r="J179" s="2" t="str">
        <f>IF(OR(ISERROR(G179),ISERROR(H179),ISERROR(I179)),"CORRUPT!","")</f>
        <v/>
      </c>
      <c r="K179" s="2" t="str">
        <f>IF(J179&lt;&gt;"","",MID(F179, G179+1, H179-G179-1))</f>
        <v>915</v>
      </c>
      <c r="L179" s="2">
        <f>IF(J179&lt;&gt;"","",LEN(K179))</f>
        <v>3</v>
      </c>
      <c r="M179" s="2" t="str">
        <f>IF(J179&lt;&gt;"","",MID(F179, H179+1, I179-H179-1))</f>
        <v>327</v>
      </c>
      <c r="N179" s="2">
        <f>IF(J179&lt;&gt;"","",LEN(M179))</f>
        <v>3</v>
      </c>
      <c r="O179" s="2">
        <f>IF(J179&lt;&gt;"","",K179*M179)</f>
        <v>299205</v>
      </c>
      <c r="R179" s="1" t="str">
        <v>328,665)from()&gt;*)how()</v>
      </c>
      <c r="S179" s="1" t="str">
        <v>270,799</v>
      </c>
      <c r="T179" s="1" t="str">
        <v>270</v>
      </c>
      <c r="U179" s="1" t="str">
        <v>799</v>
      </c>
      <c r="V179" s="1">
        <v>215730</v>
      </c>
      <c r="AH179" s="1" t="str">
        <v>124,151)~@{why()@/why()</v>
      </c>
      <c r="AI179" s="1" t="str">
        <v>124,151</v>
      </c>
      <c r="AJ179" s="1" t="str">
        <v>124</v>
      </c>
      <c r="AK179" s="1" t="str">
        <v>151</v>
      </c>
      <c r="AL179" s="1">
        <v>18724</v>
      </c>
    </row>
    <row r="180" spans="4:38" x14ac:dyDescent="0.3">
      <c r="D180" s="2">
        <v>177</v>
      </c>
      <c r="E180" s="2">
        <f>SEARCH("mul",$C$4,E179+1)</f>
        <v>4446</v>
      </c>
      <c r="F180" s="2" t="str">
        <f>MID($C$4,E180,$F$1)</f>
        <v>mul(608,270)&lt;%[</v>
      </c>
      <c r="G180" s="3">
        <f>SEARCH("(",F180)</f>
        <v>4</v>
      </c>
      <c r="H180" s="3">
        <f>SEARCH(",",F180)</f>
        <v>8</v>
      </c>
      <c r="I180" s="3">
        <f>SEARCH(")",F180)</f>
        <v>12</v>
      </c>
      <c r="J180" s="2" t="str">
        <f>IF(OR(ISERROR(G180),ISERROR(H180),ISERROR(I180)),"CORRUPT!","")</f>
        <v/>
      </c>
      <c r="K180" s="2" t="str">
        <f>IF(J180&lt;&gt;"","",MID(F180, G180+1, H180-G180-1))</f>
        <v>608</v>
      </c>
      <c r="L180" s="2">
        <f>IF(J180&lt;&gt;"","",LEN(K180))</f>
        <v>3</v>
      </c>
      <c r="M180" s="2" t="str">
        <f>IF(J180&lt;&gt;"","",MID(F180, H180+1, I180-H180-1))</f>
        <v>270</v>
      </c>
      <c r="N180" s="2">
        <f>IF(J180&lt;&gt;"","",LEN(M180))</f>
        <v>3</v>
      </c>
      <c r="O180" s="2">
        <f>IF(J180&lt;&gt;"","",K180*M180)</f>
        <v>164160</v>
      </c>
      <c r="R180" s="1" t="str">
        <v>836,471)</v>
      </c>
      <c r="S180" s="1" t="str">
        <v>598,772</v>
      </c>
      <c r="T180" s="1" t="str">
        <v>598</v>
      </c>
      <c r="U180" s="1" t="str">
        <v>772</v>
      </c>
      <c r="V180" s="1">
        <v>461656</v>
      </c>
      <c r="AH180" s="1" t="str">
        <v>523,641)'%select())/</v>
      </c>
      <c r="AI180" s="1" t="str">
        <v>523,641</v>
      </c>
      <c r="AJ180" s="1" t="str">
        <v>523</v>
      </c>
      <c r="AK180" s="1" t="str">
        <v>641</v>
      </c>
      <c r="AL180" s="1">
        <v>335243</v>
      </c>
    </row>
    <row r="181" spans="4:38" x14ac:dyDescent="0.3">
      <c r="D181" s="2">
        <v>178</v>
      </c>
      <c r="E181" s="2">
        <f>SEARCH("mul",$C$4,E180+1)</f>
        <v>4465</v>
      </c>
      <c r="F181" s="2" t="str">
        <f>MID($C$4,E181,$F$1)</f>
        <v>mul(328,665)fro</v>
      </c>
      <c r="G181" s="3">
        <f>SEARCH("(",F181)</f>
        <v>4</v>
      </c>
      <c r="H181" s="3">
        <f>SEARCH(",",F181)</f>
        <v>8</v>
      </c>
      <c r="I181" s="3">
        <f>SEARCH(")",F181)</f>
        <v>12</v>
      </c>
      <c r="J181" s="2" t="str">
        <f>IF(OR(ISERROR(G181),ISERROR(H181),ISERROR(I181)),"CORRUPT!","")</f>
        <v/>
      </c>
      <c r="K181" s="2" t="str">
        <f>IF(J181&lt;&gt;"","",MID(F181, G181+1, H181-G181-1))</f>
        <v>328</v>
      </c>
      <c r="L181" s="2">
        <f>IF(J181&lt;&gt;"","",LEN(K181))</f>
        <v>3</v>
      </c>
      <c r="M181" s="2" t="str">
        <f>IF(J181&lt;&gt;"","",MID(F181, H181+1, I181-H181-1))</f>
        <v>665</v>
      </c>
      <c r="N181" s="2">
        <f>IF(J181&lt;&gt;"","",LEN(M181))</f>
        <v>3</v>
      </c>
      <c r="O181" s="2">
        <f>IF(J181&lt;&gt;"","",K181*M181)</f>
        <v>218120</v>
      </c>
      <c r="R181" s="1" t="str">
        <v>270,799);(why();&amp;~~</v>
      </c>
      <c r="S181" s="1" t="str">
        <v>409,297</v>
      </c>
      <c r="T181" s="1" t="str">
        <v>409</v>
      </c>
      <c r="U181" s="1" t="str">
        <v>297</v>
      </c>
      <c r="V181" s="1">
        <v>121473</v>
      </c>
      <c r="AH181" s="1" t="str">
        <v>70,234)-$#</v>
      </c>
      <c r="AI181" s="1" t="str">
        <v>70,234</v>
      </c>
      <c r="AJ181" s="1" t="str">
        <v>70</v>
      </c>
      <c r="AK181" s="1" t="str">
        <v>234</v>
      </c>
      <c r="AL181" s="1">
        <v>16380</v>
      </c>
    </row>
    <row r="182" spans="4:38" x14ac:dyDescent="0.3">
      <c r="D182" s="2">
        <v>179</v>
      </c>
      <c r="E182" s="2">
        <f>SEARCH("mul",$C$4,E181+1)</f>
        <v>4491</v>
      </c>
      <c r="F182" s="2" t="str">
        <f>MID($C$4,E182,$F$1)</f>
        <v>mul(836,471)mul</v>
      </c>
      <c r="G182" s="3">
        <f>SEARCH("(",F182)</f>
        <v>4</v>
      </c>
      <c r="H182" s="3">
        <f>SEARCH(",",F182)</f>
        <v>8</v>
      </c>
      <c r="I182" s="3">
        <f>SEARCH(")",F182)</f>
        <v>12</v>
      </c>
      <c r="J182" s="2" t="str">
        <f>IF(OR(ISERROR(G182),ISERROR(H182),ISERROR(I182)),"CORRUPT!","")</f>
        <v/>
      </c>
      <c r="K182" s="2" t="str">
        <f>IF(J182&lt;&gt;"","",MID(F182, G182+1, H182-G182-1))</f>
        <v>836</v>
      </c>
      <c r="L182" s="2">
        <f>IF(J182&lt;&gt;"","",LEN(K182))</f>
        <v>3</v>
      </c>
      <c r="M182" s="2" t="str">
        <f>IF(J182&lt;&gt;"","",MID(F182, H182+1, I182-H182-1))</f>
        <v>471</v>
      </c>
      <c r="N182" s="2">
        <f>IF(J182&lt;&gt;"","",LEN(M182))</f>
        <v>3</v>
      </c>
      <c r="O182" s="2">
        <f>IF(J182&lt;&gt;"","",K182*M182)</f>
        <v>393756</v>
      </c>
      <c r="R182" s="1" t="str">
        <v>598,772)from()&gt;</v>
      </c>
      <c r="S182" s="1" t="str">
        <v>469,982</v>
      </c>
      <c r="T182" s="1" t="str">
        <v>469</v>
      </c>
      <c r="U182" s="1" t="str">
        <v>982</v>
      </c>
      <c r="V182" s="1">
        <v>460558</v>
      </c>
      <c r="AH182" s="1" t="str">
        <v>589,488)^:how()(when()</v>
      </c>
      <c r="AI182" s="1" t="str">
        <v>589,488</v>
      </c>
      <c r="AJ182" s="1" t="str">
        <v>589</v>
      </c>
      <c r="AK182" s="1" t="str">
        <v>488</v>
      </c>
      <c r="AL182" s="1">
        <v>287432</v>
      </c>
    </row>
    <row r="183" spans="4:38" x14ac:dyDescent="0.3">
      <c r="D183" s="2">
        <v>180</v>
      </c>
      <c r="E183" s="2">
        <f>SEARCH("mul",$C$4,E182+1)</f>
        <v>4503</v>
      </c>
      <c r="F183" s="2" t="str">
        <f>MID($C$4,E183,$F$1)</f>
        <v>mul(270,799);(w</v>
      </c>
      <c r="G183" s="3">
        <f>SEARCH("(",F183)</f>
        <v>4</v>
      </c>
      <c r="H183" s="3">
        <f>SEARCH(",",F183)</f>
        <v>8</v>
      </c>
      <c r="I183" s="3">
        <f>SEARCH(")",F183)</f>
        <v>12</v>
      </c>
      <c r="J183" s="2" t="str">
        <f>IF(OR(ISERROR(G183),ISERROR(H183),ISERROR(I183)),"CORRUPT!","")</f>
        <v/>
      </c>
      <c r="K183" s="2" t="str">
        <f>IF(J183&lt;&gt;"","",MID(F183, G183+1, H183-G183-1))</f>
        <v>270</v>
      </c>
      <c r="L183" s="2">
        <f>IF(J183&lt;&gt;"","",LEN(K183))</f>
        <v>3</v>
      </c>
      <c r="M183" s="2" t="str">
        <f>IF(J183&lt;&gt;"","",MID(F183, H183+1, I183-H183-1))</f>
        <v>799</v>
      </c>
      <c r="N183" s="2">
        <f>IF(J183&lt;&gt;"","",LEN(M183))</f>
        <v>3</v>
      </c>
      <c r="O183" s="2">
        <f>IF(J183&lt;&gt;"","",K183*M183)</f>
        <v>215730</v>
      </c>
      <c r="R183" s="1" t="str">
        <v>409,297)$</v>
      </c>
      <c r="S183" s="1" t="str">
        <v>457,665</v>
      </c>
      <c r="T183" s="1" t="str">
        <v>457</v>
      </c>
      <c r="U183" s="1" t="str">
        <v>665</v>
      </c>
      <c r="V183" s="1">
        <v>303905</v>
      </c>
      <c r="AH183" s="1" t="str">
        <v>66,473)$/!-{from()%]#]</v>
      </c>
      <c r="AI183" s="1" t="str">
        <v>66,473</v>
      </c>
      <c r="AJ183" s="1" t="str">
        <v>66</v>
      </c>
      <c r="AK183" s="1" t="str">
        <v>473</v>
      </c>
      <c r="AL183" s="1">
        <v>31218</v>
      </c>
    </row>
    <row r="184" spans="4:38" x14ac:dyDescent="0.3">
      <c r="D184" s="2">
        <v>181</v>
      </c>
      <c r="E184" s="2">
        <f>SEARCH("mul",$C$4,E183+1)</f>
        <v>4526</v>
      </c>
      <c r="F184" s="2" t="str">
        <f>MID($C$4,E184,$F$1)</f>
        <v>mul(598,772)fro</v>
      </c>
      <c r="G184" s="3">
        <f>SEARCH("(",F184)</f>
        <v>4</v>
      </c>
      <c r="H184" s="3">
        <f>SEARCH(",",F184)</f>
        <v>8</v>
      </c>
      <c r="I184" s="3">
        <f>SEARCH(")",F184)</f>
        <v>12</v>
      </c>
      <c r="J184" s="2" t="str">
        <f>IF(OR(ISERROR(G184),ISERROR(H184),ISERROR(I184)),"CORRUPT!","")</f>
        <v/>
      </c>
      <c r="K184" s="2" t="str">
        <f>IF(J184&lt;&gt;"","",MID(F184, G184+1, H184-G184-1))</f>
        <v>598</v>
      </c>
      <c r="L184" s="2">
        <f>IF(J184&lt;&gt;"","",LEN(K184))</f>
        <v>3</v>
      </c>
      <c r="M184" s="2" t="str">
        <f>IF(J184&lt;&gt;"","",MID(F184, H184+1, I184-H184-1))</f>
        <v>772</v>
      </c>
      <c r="N184" s="2">
        <f>IF(J184&lt;&gt;"","",LEN(M184))</f>
        <v>3</v>
      </c>
      <c r="O184" s="2">
        <f>IF(J184&lt;&gt;"","",K184*M184)</f>
        <v>461656</v>
      </c>
      <c r="R184" s="1" t="str">
        <v>469,982)</v>
      </c>
      <c r="S184" s="1" t="str">
        <v>293,172select(816,987</v>
      </c>
      <c r="T184" s="1" t="str">
        <v>293</v>
      </c>
      <c r="U184" s="1" t="str">
        <v>172select(816,987</v>
      </c>
      <c r="V184" s="1">
        <v>0</v>
      </c>
      <c r="AH184" s="1" t="str">
        <v>417,212)~&gt;{(when()$</v>
      </c>
      <c r="AI184" s="1" t="str">
        <v>417,212</v>
      </c>
      <c r="AJ184" s="1" t="str">
        <v>417</v>
      </c>
      <c r="AK184" s="1" t="str">
        <v>212</v>
      </c>
      <c r="AL184" s="1">
        <v>88404</v>
      </c>
    </row>
    <row r="185" spans="4:38" x14ac:dyDescent="0.3">
      <c r="D185" s="2">
        <v>182</v>
      </c>
      <c r="E185" s="2">
        <f>SEARCH("mul",$C$4,E184+1)</f>
        <v>4545</v>
      </c>
      <c r="F185" s="2" t="str">
        <f>MID($C$4,E185,$F$1)</f>
        <v>mul(409,297)$mu</v>
      </c>
      <c r="G185" s="3">
        <f>SEARCH("(",F185)</f>
        <v>4</v>
      </c>
      <c r="H185" s="3">
        <f>SEARCH(",",F185)</f>
        <v>8</v>
      </c>
      <c r="I185" s="3">
        <f>SEARCH(")",F185)</f>
        <v>12</v>
      </c>
      <c r="J185" s="2" t="str">
        <f>IF(OR(ISERROR(G185),ISERROR(H185),ISERROR(I185)),"CORRUPT!","")</f>
        <v/>
      </c>
      <c r="K185" s="2" t="str">
        <f>IF(J185&lt;&gt;"","",MID(F185, G185+1, H185-G185-1))</f>
        <v>409</v>
      </c>
      <c r="L185" s="2">
        <f>IF(J185&lt;&gt;"","",LEN(K185))</f>
        <v>3</v>
      </c>
      <c r="M185" s="2" t="str">
        <f>IF(J185&lt;&gt;"","",MID(F185, H185+1, I185-H185-1))</f>
        <v>297</v>
      </c>
      <c r="N185" s="2">
        <f>IF(J185&lt;&gt;"","",LEN(M185))</f>
        <v>3</v>
      </c>
      <c r="O185" s="2">
        <f>IF(J185&lt;&gt;"","",K185*M185)</f>
        <v>121473</v>
      </c>
      <c r="R185" s="1" t="str">
        <v>457,665):@&gt;{don't()why()&lt;+,</v>
      </c>
      <c r="S185" s="1" t="str">
        <v>372,420</v>
      </c>
      <c r="T185" s="1" t="str">
        <v>372</v>
      </c>
      <c r="U185" s="1" t="str">
        <v>420</v>
      </c>
      <c r="V185" s="1">
        <v>156240</v>
      </c>
      <c r="AH185" s="1" t="str">
        <v>613,175)}</v>
      </c>
      <c r="AI185" s="1" t="str">
        <v>613,175</v>
      </c>
      <c r="AJ185" s="1" t="str">
        <v>613</v>
      </c>
      <c r="AK185" s="1" t="str">
        <v>175</v>
      </c>
      <c r="AL185" s="1">
        <v>107275</v>
      </c>
    </row>
    <row r="186" spans="4:38" x14ac:dyDescent="0.3">
      <c r="D186" s="2">
        <v>183</v>
      </c>
      <c r="E186" s="2">
        <f>SEARCH("mul",$C$4,E185+1)</f>
        <v>4558</v>
      </c>
      <c r="F186" s="2" t="str">
        <f>MID($C$4,E186,$F$1)</f>
        <v>mul(469,982)mul</v>
      </c>
      <c r="G186" s="3">
        <f>SEARCH("(",F186)</f>
        <v>4</v>
      </c>
      <c r="H186" s="3">
        <f>SEARCH(",",F186)</f>
        <v>8</v>
      </c>
      <c r="I186" s="3">
        <f>SEARCH(")",F186)</f>
        <v>12</v>
      </c>
      <c r="J186" s="2" t="str">
        <f>IF(OR(ISERROR(G186),ISERROR(H186),ISERROR(I186)),"CORRUPT!","")</f>
        <v/>
      </c>
      <c r="K186" s="2" t="str">
        <f>IF(J186&lt;&gt;"","",MID(F186, G186+1, H186-G186-1))</f>
        <v>469</v>
      </c>
      <c r="L186" s="2">
        <f>IF(J186&lt;&gt;"","",LEN(K186))</f>
        <v>3</v>
      </c>
      <c r="M186" s="2" t="str">
        <f>IF(J186&lt;&gt;"","",MID(F186, H186+1, I186-H186-1))</f>
        <v>982</v>
      </c>
      <c r="N186" s="2">
        <f>IF(J186&lt;&gt;"","",LEN(M186))</f>
        <v>3</v>
      </c>
      <c r="O186" s="2">
        <f>IF(J186&lt;&gt;"","",K186*M186)</f>
        <v>460558</v>
      </c>
      <c r="R186" s="1" t="str">
        <v>293,172select(816,987)}why()</v>
      </c>
      <c r="S186" s="1" t="str">
        <v>105,735</v>
      </c>
      <c r="T186" s="1" t="str">
        <v>105</v>
      </c>
      <c r="U186" s="1" t="str">
        <v>735</v>
      </c>
      <c r="V186" s="1">
        <v>77175</v>
      </c>
      <c r="AH186" s="1" t="str">
        <v>503,337)~)what() mul:!-*}?~who()&lt;</v>
      </c>
      <c r="AI186" s="1" t="str">
        <v>503,337</v>
      </c>
      <c r="AJ186" s="1" t="str">
        <v>503</v>
      </c>
      <c r="AK186" s="1" t="str">
        <v>337</v>
      </c>
      <c r="AL186" s="1">
        <v>169511</v>
      </c>
    </row>
    <row r="187" spans="4:38" x14ac:dyDescent="0.3">
      <c r="D187" s="2">
        <v>184</v>
      </c>
      <c r="E187" s="2">
        <f>SEARCH("mul",$C$4,E186+1)</f>
        <v>4570</v>
      </c>
      <c r="F187" s="2" t="str">
        <f>MID($C$4,E187,$F$1)</f>
        <v>mul(457,665):@&gt;</v>
      </c>
      <c r="G187" s="3">
        <f>SEARCH("(",F187)</f>
        <v>4</v>
      </c>
      <c r="H187" s="3">
        <f>SEARCH(",",F187)</f>
        <v>8</v>
      </c>
      <c r="I187" s="3">
        <f>SEARCH(")",F187)</f>
        <v>12</v>
      </c>
      <c r="J187" s="2" t="str">
        <f>IF(OR(ISERROR(G187),ISERROR(H187),ISERROR(I187)),"CORRUPT!","")</f>
        <v/>
      </c>
      <c r="K187" s="2" t="str">
        <f>IF(J187&lt;&gt;"","",MID(F187, G187+1, H187-G187-1))</f>
        <v>457</v>
      </c>
      <c r="L187" s="2">
        <f>IF(J187&lt;&gt;"","",LEN(K187))</f>
        <v>3</v>
      </c>
      <c r="M187" s="2" t="str">
        <f>IF(J187&lt;&gt;"","",MID(F187, H187+1, I187-H187-1))</f>
        <v>665</v>
      </c>
      <c r="N187" s="2">
        <f>IF(J187&lt;&gt;"","",LEN(M187))</f>
        <v>3</v>
      </c>
      <c r="O187" s="2">
        <f>IF(J187&lt;&gt;"","",K187*M187)</f>
        <v>303905</v>
      </c>
      <c r="R187" s="1" t="str">
        <v>372,420)why()%</v>
      </c>
      <c r="S187" s="1" t="str">
        <v>348,90</v>
      </c>
      <c r="T187" s="1" t="str">
        <v>348</v>
      </c>
      <c r="U187" s="1" t="str">
        <v>90</v>
      </c>
      <c r="V187" s="1">
        <v>31320</v>
      </c>
      <c r="AH187" s="1" t="str">
        <v>709,759)}what()^where()when()!select(820,39)]::</v>
      </c>
      <c r="AI187" s="1" t="str">
        <v>709,759</v>
      </c>
      <c r="AJ187" s="1" t="str">
        <v>709</v>
      </c>
      <c r="AK187" s="1" t="str">
        <v>759</v>
      </c>
      <c r="AL187" s="1">
        <v>538131</v>
      </c>
    </row>
    <row r="188" spans="4:38" x14ac:dyDescent="0.3">
      <c r="D188" s="2">
        <v>185</v>
      </c>
      <c r="E188" s="2">
        <f>SEARCH("mul",$C$4,E187+1)</f>
        <v>4601</v>
      </c>
      <c r="F188" s="2" t="str">
        <f>MID($C$4,E188,$F$1)</f>
        <v>mul(293,172sele</v>
      </c>
      <c r="G188" s="3">
        <f>SEARCH("(",F188)</f>
        <v>4</v>
      </c>
      <c r="H188" s="3">
        <f>SEARCH(",",F188)</f>
        <v>8</v>
      </c>
      <c r="I188" s="3" t="e">
        <f>SEARCH(")",F188)</f>
        <v>#VALUE!</v>
      </c>
      <c r="J188" s="2" t="str">
        <f>IF(OR(ISERROR(G188),ISERROR(H188),ISERROR(I188)),"CORRUPT!","")</f>
        <v>CORRUPT!</v>
      </c>
      <c r="K188" s="2" t="str">
        <f>IF(J188&lt;&gt;"","",MID(F188, G188+1, H188-G188-1))</f>
        <v/>
      </c>
      <c r="L188" s="2" t="str">
        <f>IF(J188&lt;&gt;"","",LEN(K188))</f>
        <v/>
      </c>
      <c r="M188" s="2" t="str">
        <f>IF(J188&lt;&gt;"","",MID(F188, H188+1, I188-H188-1))</f>
        <v/>
      </c>
      <c r="N188" s="2" t="str">
        <f>IF(J188&lt;&gt;"","",LEN(M188))</f>
        <v/>
      </c>
      <c r="O188" s="2" t="str">
        <f>IF(J188&lt;&gt;"","",K188*M188)</f>
        <v/>
      </c>
      <c r="R188" s="1" t="str">
        <v>105,735),&lt;]{mul?{$;&gt;from()what()-$;</v>
      </c>
      <c r="S188" s="1" t="str">
        <v>634,662</v>
      </c>
      <c r="T188" s="1" t="str">
        <v>634</v>
      </c>
      <c r="U188" s="1" t="str">
        <v>662</v>
      </c>
      <c r="V188" s="1">
        <v>419708</v>
      </c>
      <c r="AH188" s="1" t="str">
        <v>884,175):#</v>
      </c>
      <c r="AI188" s="1" t="str">
        <v>884,175</v>
      </c>
      <c r="AJ188" s="1" t="str">
        <v>884</v>
      </c>
      <c r="AK188" s="1" t="str">
        <v>175</v>
      </c>
      <c r="AL188" s="1">
        <v>154700</v>
      </c>
    </row>
    <row r="189" spans="4:38" x14ac:dyDescent="0.3">
      <c r="D189" s="2">
        <v>186</v>
      </c>
      <c r="E189" s="2">
        <f>SEARCH("mul",$C$4,E188+1)</f>
        <v>4633</v>
      </c>
      <c r="F189" s="2" t="str">
        <f>MID($C$4,E189,$F$1)</f>
        <v>mul(372,420)why</v>
      </c>
      <c r="G189" s="3">
        <f>SEARCH("(",F189)</f>
        <v>4</v>
      </c>
      <c r="H189" s="3">
        <f>SEARCH(",",F189)</f>
        <v>8</v>
      </c>
      <c r="I189" s="3">
        <f>SEARCH(")",F189)</f>
        <v>12</v>
      </c>
      <c r="J189" s="2" t="str">
        <f>IF(OR(ISERROR(G189),ISERROR(H189),ISERROR(I189)),"CORRUPT!","")</f>
        <v/>
      </c>
      <c r="K189" s="2" t="str">
        <f>IF(J189&lt;&gt;"","",MID(F189, G189+1, H189-G189-1))</f>
        <v>372</v>
      </c>
      <c r="L189" s="2">
        <f>IF(J189&lt;&gt;"","",LEN(K189))</f>
        <v>3</v>
      </c>
      <c r="M189" s="2" t="str">
        <f>IF(J189&lt;&gt;"","",MID(F189, H189+1, I189-H189-1))</f>
        <v>420</v>
      </c>
      <c r="N189" s="2">
        <f>IF(J189&lt;&gt;"","",LEN(M189))</f>
        <v>3</v>
      </c>
      <c r="O189" s="2">
        <f>IF(J189&lt;&gt;"","",K189*M189)</f>
        <v>156240</v>
      </c>
      <c r="R189" s="1" t="str">
        <v>348,90)from()what()~</v>
      </c>
      <c r="S189" s="1" t="str">
        <v>226,996</v>
      </c>
      <c r="T189" s="1" t="str">
        <v>226</v>
      </c>
      <c r="U189" s="1" t="str">
        <v>996</v>
      </c>
      <c r="V189" s="1">
        <v>225096</v>
      </c>
      <c r="AH189" s="1" t="str">
        <v>852,584)&gt;-</v>
      </c>
      <c r="AI189" s="1" t="str">
        <v>852,584</v>
      </c>
      <c r="AJ189" s="1" t="str">
        <v>852</v>
      </c>
      <c r="AK189" s="1" t="str">
        <v>584</v>
      </c>
      <c r="AL189" s="1">
        <v>497568</v>
      </c>
    </row>
    <row r="190" spans="4:38" x14ac:dyDescent="0.3">
      <c r="D190" s="2">
        <v>187</v>
      </c>
      <c r="E190" s="2">
        <f>SEARCH("mul",$C$4,E189+1)</f>
        <v>4651</v>
      </c>
      <c r="F190" s="2" t="str">
        <f>MID($C$4,E190,$F$1)</f>
        <v>mul(105,735),&lt;]</v>
      </c>
      <c r="G190" s="3">
        <f>SEARCH("(",F190)</f>
        <v>4</v>
      </c>
      <c r="H190" s="3">
        <f>SEARCH(",",F190)</f>
        <v>8</v>
      </c>
      <c r="I190" s="3">
        <f>SEARCH(")",F190)</f>
        <v>12</v>
      </c>
      <c r="J190" s="2" t="str">
        <f>IF(OR(ISERROR(G190),ISERROR(H190),ISERROR(I190)),"CORRUPT!","")</f>
        <v/>
      </c>
      <c r="K190" s="2" t="str">
        <f>IF(J190&lt;&gt;"","",MID(F190, G190+1, H190-G190-1))</f>
        <v>105</v>
      </c>
      <c r="L190" s="2">
        <f>IF(J190&lt;&gt;"","",LEN(K190))</f>
        <v>3</v>
      </c>
      <c r="M190" s="2" t="str">
        <f>IF(J190&lt;&gt;"","",MID(F190, H190+1, I190-H190-1))</f>
        <v>735</v>
      </c>
      <c r="N190" s="2">
        <f>IF(J190&lt;&gt;"","",LEN(M190))</f>
        <v>3</v>
      </c>
      <c r="O190" s="2">
        <f>IF(J190&lt;&gt;"","",K190*M190)</f>
        <v>77175</v>
      </c>
      <c r="R190" s="1" t="str">
        <v>634,662)^do()$@]*)~,&amp;</v>
      </c>
      <c r="S190" s="1" t="str">
        <v>322,135</v>
      </c>
      <c r="T190" s="1" t="str">
        <v>322</v>
      </c>
      <c r="U190" s="1" t="str">
        <v>135</v>
      </c>
      <c r="V190" s="1">
        <v>43470</v>
      </c>
      <c r="AH190" s="1" t="str">
        <v>649,886)+how(738,973)when()[(</v>
      </c>
      <c r="AI190" s="1" t="str">
        <v>649,886</v>
      </c>
      <c r="AJ190" s="1" t="str">
        <v>649</v>
      </c>
      <c r="AK190" s="1" t="str">
        <v>886</v>
      </c>
      <c r="AL190" s="1">
        <v>575014</v>
      </c>
    </row>
    <row r="191" spans="4:38" x14ac:dyDescent="0.3">
      <c r="D191" s="2">
        <v>188</v>
      </c>
      <c r="E191" s="2">
        <f>SEARCH("mul",$C$4,E190+1)</f>
        <v>4667</v>
      </c>
      <c r="F191" s="2" t="str">
        <f>MID($C$4,E191,$F$1)</f>
        <v>mul?{$;&gt;from()w</v>
      </c>
      <c r="G191" s="3">
        <f>SEARCH("(",F191)</f>
        <v>13</v>
      </c>
      <c r="H191" s="3" t="e">
        <f>SEARCH(",",F191)</f>
        <v>#VALUE!</v>
      </c>
      <c r="I191" s="3">
        <f>SEARCH(")",F191)</f>
        <v>14</v>
      </c>
      <c r="J191" s="2" t="str">
        <f>IF(OR(ISERROR(G191),ISERROR(H191),ISERROR(I191)),"CORRUPT!","")</f>
        <v>CORRUPT!</v>
      </c>
      <c r="K191" s="2" t="str">
        <f>IF(J191&lt;&gt;"","",MID(F191, G191+1, H191-G191-1))</f>
        <v/>
      </c>
      <c r="L191" s="2" t="str">
        <f>IF(J191&lt;&gt;"","",LEN(K191))</f>
        <v/>
      </c>
      <c r="M191" s="2" t="str">
        <f>IF(J191&lt;&gt;"","",MID(F191, H191+1, I191-H191-1))</f>
        <v/>
      </c>
      <c r="N191" s="2" t="str">
        <f>IF(J191&lt;&gt;"","",LEN(M191))</f>
        <v/>
      </c>
      <c r="O191" s="2" t="str">
        <f>IF(J191&lt;&gt;"","",K191*M191)</f>
        <v/>
      </c>
      <c r="R191" s="1" t="str">
        <v>226,996)when()%]what()!@/&amp;</v>
      </c>
      <c r="S191" s="1" t="str">
        <v>967,104</v>
      </c>
      <c r="T191" s="1" t="str">
        <v>967</v>
      </c>
      <c r="U191" s="1" t="str">
        <v>104</v>
      </c>
      <c r="V191" s="1">
        <v>100568</v>
      </c>
      <c r="AH191" s="1" t="str">
        <v>593,702)where()%%^(]who()</v>
      </c>
      <c r="AI191" s="1" t="str">
        <v>593,702</v>
      </c>
      <c r="AJ191" s="1" t="str">
        <v>593</v>
      </c>
      <c r="AK191" s="1" t="str">
        <v>702</v>
      </c>
      <c r="AL191" s="1">
        <v>416286</v>
      </c>
    </row>
    <row r="192" spans="4:38" x14ac:dyDescent="0.3">
      <c r="D192" s="2">
        <v>189</v>
      </c>
      <c r="E192" s="2">
        <f>SEARCH("mul",$C$4,E191+1)</f>
        <v>4690</v>
      </c>
      <c r="F192" s="2" t="str">
        <f>MID($C$4,E192,$F$1)</f>
        <v>mul(348,90)from</v>
      </c>
      <c r="G192" s="3">
        <f>SEARCH("(",F192)</f>
        <v>4</v>
      </c>
      <c r="H192" s="3">
        <f>SEARCH(",",F192)</f>
        <v>8</v>
      </c>
      <c r="I192" s="3">
        <f>SEARCH(")",F192)</f>
        <v>11</v>
      </c>
      <c r="J192" s="2" t="str">
        <f>IF(OR(ISERROR(G192),ISERROR(H192),ISERROR(I192)),"CORRUPT!","")</f>
        <v/>
      </c>
      <c r="K192" s="2" t="str">
        <f>IF(J192&lt;&gt;"","",MID(F192, G192+1, H192-G192-1))</f>
        <v>348</v>
      </c>
      <c r="L192" s="2">
        <f>IF(J192&lt;&gt;"","",LEN(K192))</f>
        <v>3</v>
      </c>
      <c r="M192" s="2" t="str">
        <f>IF(J192&lt;&gt;"","",MID(F192, H192+1, I192-H192-1))</f>
        <v>90</v>
      </c>
      <c r="N192" s="2">
        <f>IF(J192&lt;&gt;"","",LEN(M192))</f>
        <v>2</v>
      </c>
      <c r="O192" s="2">
        <f>IF(J192&lt;&gt;"","",K192*M192)</f>
        <v>31320</v>
      </c>
      <c r="R192" s="1" t="str">
        <v>322,135);who() &amp;^select()*&amp;}</v>
      </c>
      <c r="S192" s="1" t="str">
        <v>687,163</v>
      </c>
      <c r="T192" s="1" t="str">
        <v>687</v>
      </c>
      <c r="U192" s="1" t="str">
        <v>163</v>
      </c>
      <c r="V192" s="1">
        <v>111981</v>
      </c>
      <c r="AH192" s="1" t="str">
        <v>456,697)%~^'when()how()</v>
      </c>
      <c r="AI192" s="1" t="str">
        <v>456,697</v>
      </c>
      <c r="AJ192" s="1" t="str">
        <v>456</v>
      </c>
      <c r="AK192" s="1" t="str">
        <v>697</v>
      </c>
      <c r="AL192" s="1">
        <v>317832</v>
      </c>
    </row>
    <row r="193" spans="4:38" x14ac:dyDescent="0.3">
      <c r="D193" s="2">
        <v>190</v>
      </c>
      <c r="E193" s="2">
        <f>SEARCH("mul",$C$4,E192+1)</f>
        <v>4714</v>
      </c>
      <c r="F193" s="2" t="str">
        <f>MID($C$4,E193,$F$1)</f>
        <v>mul(634,662)^do</v>
      </c>
      <c r="G193" s="3">
        <f>SEARCH("(",F193)</f>
        <v>4</v>
      </c>
      <c r="H193" s="3">
        <f>SEARCH(",",F193)</f>
        <v>8</v>
      </c>
      <c r="I193" s="3">
        <f>SEARCH(")",F193)</f>
        <v>12</v>
      </c>
      <c r="J193" s="2" t="str">
        <f>IF(OR(ISERROR(G193),ISERROR(H193),ISERROR(I193)),"CORRUPT!","")</f>
        <v/>
      </c>
      <c r="K193" s="2" t="str">
        <f>IF(J193&lt;&gt;"","",MID(F193, G193+1, H193-G193-1))</f>
        <v>634</v>
      </c>
      <c r="L193" s="2">
        <f>IF(J193&lt;&gt;"","",LEN(K193))</f>
        <v>3</v>
      </c>
      <c r="M193" s="2" t="str">
        <f>IF(J193&lt;&gt;"","",MID(F193, H193+1, I193-H193-1))</f>
        <v>662</v>
      </c>
      <c r="N193" s="2">
        <f>IF(J193&lt;&gt;"","",LEN(M193))</f>
        <v>3</v>
      </c>
      <c r="O193" s="2">
        <f>IF(J193&lt;&gt;"","",K193*M193)</f>
        <v>419708</v>
      </c>
      <c r="R193" s="1" t="str">
        <v>967,104)from()}'who(701,7)~%[</v>
      </c>
      <c r="S193" s="1" t="str">
        <v>497,664</v>
      </c>
      <c r="T193" s="1" t="str">
        <v>497</v>
      </c>
      <c r="U193" s="1" t="str">
        <v>664</v>
      </c>
      <c r="V193" s="1">
        <v>330008</v>
      </c>
      <c r="AH193" s="1" t="str">
        <v>789,446)</v>
      </c>
      <c r="AI193" s="1" t="str">
        <v>789,446</v>
      </c>
      <c r="AJ193" s="1" t="str">
        <v>789</v>
      </c>
      <c r="AK193" s="1" t="str">
        <v>446</v>
      </c>
      <c r="AL193" s="1">
        <v>351894</v>
      </c>
    </row>
    <row r="194" spans="4:38" x14ac:dyDescent="0.3">
      <c r="D194" s="2">
        <v>191</v>
      </c>
      <c r="E194" s="2">
        <f>SEARCH("mul",$C$4,E193+1)</f>
        <v>4739</v>
      </c>
      <c r="F194" s="2" t="str">
        <f>MID($C$4,E194,$F$1)</f>
        <v>mul(226,996)whe</v>
      </c>
      <c r="G194" s="3">
        <f>SEARCH("(",F194)</f>
        <v>4</v>
      </c>
      <c r="H194" s="3">
        <f>SEARCH(",",F194)</f>
        <v>8</v>
      </c>
      <c r="I194" s="3">
        <f>SEARCH(")",F194)</f>
        <v>12</v>
      </c>
      <c r="J194" s="2" t="str">
        <f>IF(OR(ISERROR(G194),ISERROR(H194),ISERROR(I194)),"CORRUPT!","")</f>
        <v/>
      </c>
      <c r="K194" s="2" t="str">
        <f>IF(J194&lt;&gt;"","",MID(F194, G194+1, H194-G194-1))</f>
        <v>226</v>
      </c>
      <c r="L194" s="2">
        <f>IF(J194&lt;&gt;"","",LEN(K194))</f>
        <v>3</v>
      </c>
      <c r="M194" s="2" t="str">
        <f>IF(J194&lt;&gt;"","",MID(F194, H194+1, I194-H194-1))</f>
        <v>996</v>
      </c>
      <c r="N194" s="2">
        <f>IF(J194&lt;&gt;"","",LEN(M194))</f>
        <v>3</v>
      </c>
      <c r="O194" s="2">
        <f>IF(J194&lt;&gt;"","",K194*M194)</f>
        <v>225096</v>
      </c>
      <c r="R194" s="1" t="str">
        <v>687,163)@:&lt;!how(){^/who()@</v>
      </c>
      <c r="S194" s="1" t="str">
        <v>20,274</v>
      </c>
      <c r="T194" s="1" t="str">
        <v>20</v>
      </c>
      <c r="U194" s="1" t="str">
        <v>274</v>
      </c>
      <c r="V194" s="1">
        <v>5480</v>
      </c>
      <c r="AH194" s="1" t="str">
        <v>737,439)</v>
      </c>
      <c r="AI194" s="1" t="str">
        <v>737,439</v>
      </c>
      <c r="AJ194" s="1" t="str">
        <v>737</v>
      </c>
      <c r="AK194" s="1" t="str">
        <v>439</v>
      </c>
      <c r="AL194" s="1">
        <v>323543</v>
      </c>
    </row>
    <row r="195" spans="4:38" x14ac:dyDescent="0.3">
      <c r="D195" s="2">
        <v>192</v>
      </c>
      <c r="E195" s="2">
        <f>SEARCH("mul",$C$4,E194+1)</f>
        <v>4769</v>
      </c>
      <c r="F195" s="2" t="str">
        <f>MID($C$4,E195,$F$1)</f>
        <v>mul(322,135);wh</v>
      </c>
      <c r="G195" s="3">
        <f>SEARCH("(",F195)</f>
        <v>4</v>
      </c>
      <c r="H195" s="3">
        <f>SEARCH(",",F195)</f>
        <v>8</v>
      </c>
      <c r="I195" s="3">
        <f>SEARCH(")",F195)</f>
        <v>12</v>
      </c>
      <c r="J195" s="2" t="str">
        <f>IF(OR(ISERROR(G195),ISERROR(H195),ISERROR(I195)),"CORRUPT!","")</f>
        <v/>
      </c>
      <c r="K195" s="2" t="str">
        <f>IF(J195&lt;&gt;"","",MID(F195, G195+1, H195-G195-1))</f>
        <v>322</v>
      </c>
      <c r="L195" s="2">
        <f>IF(J195&lt;&gt;"","",LEN(K195))</f>
        <v>3</v>
      </c>
      <c r="M195" s="2" t="str">
        <f>IF(J195&lt;&gt;"","",MID(F195, H195+1, I195-H195-1))</f>
        <v>135</v>
      </c>
      <c r="N195" s="2">
        <f>IF(J195&lt;&gt;"","",LEN(M195))</f>
        <v>3</v>
      </c>
      <c r="O195" s="2">
        <f>IF(J195&lt;&gt;"","",K195*M195)</f>
        <v>43470</v>
      </c>
      <c r="R195" s="1" t="str">
        <v>497,664))@!-(who()&lt;</v>
      </c>
      <c r="S195" s="1" t="str">
        <v>382,128</v>
      </c>
      <c r="T195" s="1" t="str">
        <v>382</v>
      </c>
      <c r="U195" s="1" t="str">
        <v>128</v>
      </c>
      <c r="V195" s="1">
        <v>48896</v>
      </c>
      <c r="AH195" s="1" t="str">
        <v>830,910):&gt;why()when()how()'?]why()&gt;when() )(from()what()when()-</v>
      </c>
      <c r="AI195" s="1" t="str">
        <v>830,910</v>
      </c>
      <c r="AJ195" s="1" t="str">
        <v>830</v>
      </c>
      <c r="AK195" s="1" t="str">
        <v>910</v>
      </c>
      <c r="AL195" s="1">
        <v>755300</v>
      </c>
    </row>
    <row r="196" spans="4:38" x14ac:dyDescent="0.3">
      <c r="D196" s="2">
        <v>193</v>
      </c>
      <c r="E196" s="2">
        <f>SEARCH("mul",$C$4,E195+1)</f>
        <v>4801</v>
      </c>
      <c r="F196" s="2" t="str">
        <f>MID($C$4,E196,$F$1)</f>
        <v>mul(967,104)fro</v>
      </c>
      <c r="G196" s="3">
        <f>SEARCH("(",F196)</f>
        <v>4</v>
      </c>
      <c r="H196" s="3">
        <f>SEARCH(",",F196)</f>
        <v>8</v>
      </c>
      <c r="I196" s="3">
        <f>SEARCH(")",F196)</f>
        <v>12</v>
      </c>
      <c r="J196" s="2" t="str">
        <f>IF(OR(ISERROR(G196),ISERROR(H196),ISERROR(I196)),"CORRUPT!","")</f>
        <v/>
      </c>
      <c r="K196" s="2" t="str">
        <f>IF(J196&lt;&gt;"","",MID(F196, G196+1, H196-G196-1))</f>
        <v>967</v>
      </c>
      <c r="L196" s="2">
        <f>IF(J196&lt;&gt;"","",LEN(K196))</f>
        <v>3</v>
      </c>
      <c r="M196" s="2" t="str">
        <f>IF(J196&lt;&gt;"","",MID(F196, H196+1, I196-H196-1))</f>
        <v>104</v>
      </c>
      <c r="N196" s="2">
        <f>IF(J196&lt;&gt;"","",LEN(M196))</f>
        <v>3</v>
      </c>
      <c r="O196" s="2">
        <f>IF(J196&lt;&gt;"","",K196*M196)</f>
        <v>100568</v>
      </c>
      <c r="R196" s="1" t="str">
        <v>20,274)where(){%&lt;where()?&gt;+:</v>
      </c>
      <c r="S196" s="1" t="str">
        <v>831,450</v>
      </c>
      <c r="T196" s="1" t="str">
        <v>831</v>
      </c>
      <c r="U196" s="1" t="str">
        <v>450</v>
      </c>
      <c r="V196" s="1">
        <v>373950</v>
      </c>
      <c r="AH196" s="1" t="str">
        <v>95,412)(</v>
      </c>
      <c r="AI196" s="1" t="str">
        <v>95,412</v>
      </c>
      <c r="AJ196" s="1" t="str">
        <v>95</v>
      </c>
      <c r="AK196" s="1" t="str">
        <v>412</v>
      </c>
      <c r="AL196" s="1">
        <v>39140</v>
      </c>
    </row>
    <row r="197" spans="4:38" x14ac:dyDescent="0.3">
      <c r="D197" s="2">
        <v>194</v>
      </c>
      <c r="E197" s="2">
        <f>SEARCH("mul",$C$4,E196+1)</f>
        <v>4834</v>
      </c>
      <c r="F197" s="2" t="str">
        <f>MID($C$4,E197,$F$1)</f>
        <v>mul(687,163)@:&lt;</v>
      </c>
      <c r="G197" s="3">
        <f>SEARCH("(",F197)</f>
        <v>4</v>
      </c>
      <c r="H197" s="3">
        <f>SEARCH(",",F197)</f>
        <v>8</v>
      </c>
      <c r="I197" s="3">
        <f>SEARCH(")",F197)</f>
        <v>12</v>
      </c>
      <c r="J197" s="2" t="str">
        <f>IF(OR(ISERROR(G197),ISERROR(H197),ISERROR(I197)),"CORRUPT!","")</f>
        <v/>
      </c>
      <c r="K197" s="2" t="str">
        <f>IF(J197&lt;&gt;"","",MID(F197, G197+1, H197-G197-1))</f>
        <v>687</v>
      </c>
      <c r="L197" s="2">
        <f>IF(J197&lt;&gt;"","",LEN(K197))</f>
        <v>3</v>
      </c>
      <c r="M197" s="2" t="str">
        <f>IF(J197&lt;&gt;"","",MID(F197, H197+1, I197-H197-1))</f>
        <v>163</v>
      </c>
      <c r="N197" s="2">
        <f>IF(J197&lt;&gt;"","",LEN(M197))</f>
        <v>3</v>
      </c>
      <c r="O197" s="2">
        <f>IF(J197&lt;&gt;"","",K197*M197)</f>
        <v>111981</v>
      </c>
      <c r="R197" s="1" t="str">
        <v>382,128)</v>
      </c>
      <c r="S197" s="1" t="str">
        <v>485,444</v>
      </c>
      <c r="T197" s="1" t="str">
        <v>485</v>
      </c>
      <c r="U197" s="1" t="str">
        <v>444</v>
      </c>
      <c r="V197" s="1">
        <v>215340</v>
      </c>
      <c r="AH197" s="1" t="str">
        <v>127,442)/</v>
      </c>
      <c r="AI197" s="1" t="str">
        <v>127,442</v>
      </c>
      <c r="AJ197" s="1" t="str">
        <v>127</v>
      </c>
      <c r="AK197" s="1" t="str">
        <v>442</v>
      </c>
      <c r="AL197" s="1">
        <v>56134</v>
      </c>
    </row>
    <row r="198" spans="4:38" x14ac:dyDescent="0.3">
      <c r="D198" s="2">
        <v>195</v>
      </c>
      <c r="E198" s="2">
        <f>SEARCH("mul",$C$4,E197+1)</f>
        <v>4864</v>
      </c>
      <c r="F198" s="2" t="str">
        <f>MID($C$4,E198,$F$1)</f>
        <v>mul(497,664))@!</v>
      </c>
      <c r="G198" s="3">
        <f>SEARCH("(",F198)</f>
        <v>4</v>
      </c>
      <c r="H198" s="3">
        <f>SEARCH(",",F198)</f>
        <v>8</v>
      </c>
      <c r="I198" s="3">
        <f>SEARCH(")",F198)</f>
        <v>12</v>
      </c>
      <c r="J198" s="2" t="str">
        <f>IF(OR(ISERROR(G198),ISERROR(H198),ISERROR(I198)),"CORRUPT!","")</f>
        <v/>
      </c>
      <c r="K198" s="2" t="str">
        <f>IF(J198&lt;&gt;"","",MID(F198, G198+1, H198-G198-1))</f>
        <v>497</v>
      </c>
      <c r="L198" s="2">
        <f>IF(J198&lt;&gt;"","",LEN(K198))</f>
        <v>3</v>
      </c>
      <c r="M198" s="2" t="str">
        <f>IF(J198&lt;&gt;"","",MID(F198, H198+1, I198-H198-1))</f>
        <v>664</v>
      </c>
      <c r="N198" s="2">
        <f>IF(J198&lt;&gt;"","",LEN(M198))</f>
        <v>3</v>
      </c>
      <c r="O198" s="2">
        <f>IF(J198&lt;&gt;"","",K198*M198)</f>
        <v>330008</v>
      </c>
      <c r="R198" s="1" t="str">
        <v>831,450)</v>
      </c>
      <c r="S198" s="1" t="str">
        <v>204,152</v>
      </c>
      <c r="T198" s="1" t="str">
        <v>204</v>
      </c>
      <c r="U198" s="1" t="str">
        <v>152</v>
      </c>
      <c r="V198" s="1">
        <v>31008</v>
      </c>
      <c r="AH198" s="1" t="str">
        <v>658,920)from()from())!$&lt;&amp;*</v>
      </c>
      <c r="AI198" s="1" t="str">
        <v>658,920</v>
      </c>
      <c r="AJ198" s="1" t="str">
        <v>658</v>
      </c>
      <c r="AK198" s="1" t="str">
        <v>920</v>
      </c>
      <c r="AL198" s="1">
        <v>605360</v>
      </c>
    </row>
    <row r="199" spans="4:38" x14ac:dyDescent="0.3">
      <c r="D199" s="2">
        <v>196</v>
      </c>
      <c r="E199" s="2">
        <f>SEARCH("mul",$C$4,E198+1)</f>
        <v>4887</v>
      </c>
      <c r="F199" s="2" t="str">
        <f>MID($C$4,E199,$F$1)</f>
        <v>mul(20,274)wher</v>
      </c>
      <c r="G199" s="3">
        <f>SEARCH("(",F199)</f>
        <v>4</v>
      </c>
      <c r="H199" s="3">
        <f>SEARCH(",",F199)</f>
        <v>7</v>
      </c>
      <c r="I199" s="3">
        <f>SEARCH(")",F199)</f>
        <v>11</v>
      </c>
      <c r="J199" s="2" t="str">
        <f>IF(OR(ISERROR(G199),ISERROR(H199),ISERROR(I199)),"CORRUPT!","")</f>
        <v/>
      </c>
      <c r="K199" s="2" t="str">
        <f>IF(J199&lt;&gt;"","",MID(F199, G199+1, H199-G199-1))</f>
        <v>20</v>
      </c>
      <c r="L199" s="2">
        <f>IF(J199&lt;&gt;"","",LEN(K199))</f>
        <v>2</v>
      </c>
      <c r="M199" s="2" t="str">
        <f>IF(J199&lt;&gt;"","",MID(F199, H199+1, I199-H199-1))</f>
        <v>274</v>
      </c>
      <c r="N199" s="2">
        <f>IF(J199&lt;&gt;"","",LEN(M199))</f>
        <v>3</v>
      </c>
      <c r="O199" s="2">
        <f>IF(J199&lt;&gt;"","",K199*M199)</f>
        <v>5480</v>
      </c>
      <c r="R199" s="1" t="str">
        <v>485,444)%^what()what()[$what()@}do()-%?'</v>
      </c>
      <c r="S199" s="1" t="str">
        <v>63,376</v>
      </c>
      <c r="T199" s="1" t="str">
        <v>63</v>
      </c>
      <c r="U199" s="1" t="str">
        <v>376</v>
      </c>
      <c r="V199" s="1">
        <v>23688</v>
      </c>
      <c r="AH199" s="1" t="str">
        <v>45,446)what()where()&amp;![-% (%</v>
      </c>
      <c r="AI199" s="1" t="str">
        <v>45,446</v>
      </c>
      <c r="AJ199" s="1" t="str">
        <v>45</v>
      </c>
      <c r="AK199" s="1" t="str">
        <v>446</v>
      </c>
      <c r="AL199" s="1">
        <v>20070</v>
      </c>
    </row>
    <row r="200" spans="4:38" x14ac:dyDescent="0.3">
      <c r="D200" s="2">
        <v>197</v>
      </c>
      <c r="E200" s="2">
        <f>SEARCH("mul",$C$4,E199+1)</f>
        <v>4919</v>
      </c>
      <c r="F200" s="2" t="str">
        <f>MID($C$4,E200,$F$1)</f>
        <v>mul(382,128)mul</v>
      </c>
      <c r="G200" s="3">
        <f>SEARCH("(",F200)</f>
        <v>4</v>
      </c>
      <c r="H200" s="3">
        <f>SEARCH(",",F200)</f>
        <v>8</v>
      </c>
      <c r="I200" s="3">
        <f>SEARCH(")",F200)</f>
        <v>12</v>
      </c>
      <c r="J200" s="2" t="str">
        <f>IF(OR(ISERROR(G200),ISERROR(H200),ISERROR(I200)),"CORRUPT!","")</f>
        <v/>
      </c>
      <c r="K200" s="2" t="str">
        <f>IF(J200&lt;&gt;"","",MID(F200, G200+1, H200-G200-1))</f>
        <v>382</v>
      </c>
      <c r="L200" s="2">
        <f>IF(J200&lt;&gt;"","",LEN(K200))</f>
        <v>3</v>
      </c>
      <c r="M200" s="2" t="str">
        <f>IF(J200&lt;&gt;"","",MID(F200, H200+1, I200-H200-1))</f>
        <v>128</v>
      </c>
      <c r="N200" s="2">
        <f>IF(J200&lt;&gt;"","",LEN(M200))</f>
        <v>3</v>
      </c>
      <c r="O200" s="2">
        <f>IF(J200&lt;&gt;"","",K200*M200)</f>
        <v>48896</v>
      </c>
      <c r="R200" s="1" t="str">
        <v>204,152);$'/</v>
      </c>
      <c r="S200" s="1" t="str">
        <v>387,70</v>
      </c>
      <c r="T200" s="1" t="str">
        <v>387</v>
      </c>
      <c r="U200" s="1" t="str">
        <v>70</v>
      </c>
      <c r="V200" s="1">
        <v>27090</v>
      </c>
      <c r="AH200" s="1" t="str">
        <v>304};;]why();,#;where()[,</v>
      </c>
      <c r="AI200" s="1" t="str">
        <v>304};;]why(</v>
      </c>
      <c r="AJ200" s="1" t="e">
        <v>#N/A</v>
      </c>
      <c r="AK200" s="1" t="e">
        <v>#N/A</v>
      </c>
      <c r="AL200" s="1">
        <v>0</v>
      </c>
    </row>
    <row r="201" spans="4:38" x14ac:dyDescent="0.3">
      <c r="D201" s="2">
        <v>198</v>
      </c>
      <c r="E201" s="2">
        <f>SEARCH("mul",$C$4,E200+1)</f>
        <v>4931</v>
      </c>
      <c r="F201" s="2" t="str">
        <f>MID($C$4,E201,$F$1)</f>
        <v>mul(831,450)mul</v>
      </c>
      <c r="G201" s="3">
        <f>SEARCH("(",F201)</f>
        <v>4</v>
      </c>
      <c r="H201" s="3">
        <f>SEARCH(",",F201)</f>
        <v>8</v>
      </c>
      <c r="I201" s="3">
        <f>SEARCH(")",F201)</f>
        <v>12</v>
      </c>
      <c r="J201" s="2" t="str">
        <f>IF(OR(ISERROR(G201),ISERROR(H201),ISERROR(I201)),"CORRUPT!","")</f>
        <v/>
      </c>
      <c r="K201" s="2" t="str">
        <f>IF(J201&lt;&gt;"","",MID(F201, G201+1, H201-G201-1))</f>
        <v>831</v>
      </c>
      <c r="L201" s="2">
        <f>IF(J201&lt;&gt;"","",LEN(K201))</f>
        <v>3</v>
      </c>
      <c r="M201" s="2" t="str">
        <f>IF(J201&lt;&gt;"","",MID(F201, H201+1, I201-H201-1))</f>
        <v>450</v>
      </c>
      <c r="N201" s="2">
        <f>IF(J201&lt;&gt;"","",LEN(M201))</f>
        <v>3</v>
      </c>
      <c r="O201" s="2">
        <f>IF(J201&lt;&gt;"","",K201*M201)</f>
        <v>373950</v>
      </c>
      <c r="R201" s="1" t="str">
        <v>63,376)</v>
      </c>
      <c r="S201" s="1" t="str">
        <v>517,687</v>
      </c>
      <c r="T201" s="1" t="str">
        <v>517</v>
      </c>
      <c r="U201" s="1" t="str">
        <v>687</v>
      </c>
      <c r="V201" s="1">
        <v>355179</v>
      </c>
      <c r="AH201" s="1" t="str">
        <v>190,923) }when()mul &lt;</v>
      </c>
      <c r="AI201" s="1" t="str">
        <v>190,923</v>
      </c>
      <c r="AJ201" s="1" t="str">
        <v>190</v>
      </c>
      <c r="AK201" s="1" t="str">
        <v>923</v>
      </c>
      <c r="AL201" s="1">
        <v>175370</v>
      </c>
    </row>
    <row r="202" spans="4:38" x14ac:dyDescent="0.3">
      <c r="D202" s="2">
        <v>199</v>
      </c>
      <c r="E202" s="2">
        <f>SEARCH("mul",$C$4,E201+1)</f>
        <v>4943</v>
      </c>
      <c r="F202" s="2" t="str">
        <f>MID($C$4,E202,$F$1)</f>
        <v>mul(485,444)%^w</v>
      </c>
      <c r="G202" s="3">
        <f>SEARCH("(",F202)</f>
        <v>4</v>
      </c>
      <c r="H202" s="3">
        <f>SEARCH(",",F202)</f>
        <v>8</v>
      </c>
      <c r="I202" s="3">
        <f>SEARCH(")",F202)</f>
        <v>12</v>
      </c>
      <c r="J202" s="2" t="str">
        <f>IF(OR(ISERROR(G202),ISERROR(H202),ISERROR(I202)),"CORRUPT!","")</f>
        <v/>
      </c>
      <c r="K202" s="2" t="str">
        <f>IF(J202&lt;&gt;"","",MID(F202, G202+1, H202-G202-1))</f>
        <v>485</v>
      </c>
      <c r="L202" s="2">
        <f>IF(J202&lt;&gt;"","",LEN(K202))</f>
        <v>3</v>
      </c>
      <c r="M202" s="2" t="str">
        <f>IF(J202&lt;&gt;"","",MID(F202, H202+1, I202-H202-1))</f>
        <v>444</v>
      </c>
      <c r="N202" s="2">
        <f>IF(J202&lt;&gt;"","",LEN(M202))</f>
        <v>3</v>
      </c>
      <c r="O202" s="2">
        <f>IF(J202&lt;&gt;"","",K202*M202)</f>
        <v>215340</v>
      </c>
      <c r="R202" s="1" t="str">
        <v>387,70)~@'{,':&lt;</v>
      </c>
      <c r="S202" s="1" t="str">
        <v>865,593</v>
      </c>
      <c r="T202" s="1" t="str">
        <v>865</v>
      </c>
      <c r="U202" s="1" t="str">
        <v>593</v>
      </c>
      <c r="V202" s="1">
        <v>512945</v>
      </c>
      <c r="AH202" s="1" t="str">
        <v>909,876)[*~when()]</v>
      </c>
      <c r="AI202" s="1" t="str">
        <v>909,876</v>
      </c>
      <c r="AJ202" s="1" t="str">
        <v>909</v>
      </c>
      <c r="AK202" s="1" t="str">
        <v>876</v>
      </c>
      <c r="AL202" s="1">
        <v>796284</v>
      </c>
    </row>
    <row r="203" spans="4:38" x14ac:dyDescent="0.3">
      <c r="D203" s="2">
        <v>200</v>
      </c>
      <c r="E203" s="2">
        <f>SEARCH("mul",$C$4,E202+1)</f>
        <v>4987</v>
      </c>
      <c r="F203" s="2" t="str">
        <f>MID($C$4,E203,$F$1)</f>
        <v>mul(204,152);$'</v>
      </c>
      <c r="G203" s="3">
        <f>SEARCH("(",F203)</f>
        <v>4</v>
      </c>
      <c r="H203" s="3">
        <f>SEARCH(",",F203)</f>
        <v>8</v>
      </c>
      <c r="I203" s="3">
        <f>SEARCH(")",F203)</f>
        <v>12</v>
      </c>
      <c r="J203" s="2" t="str">
        <f>IF(OR(ISERROR(G203),ISERROR(H203),ISERROR(I203)),"CORRUPT!","")</f>
        <v/>
      </c>
      <c r="K203" s="2" t="str">
        <f>IF(J203&lt;&gt;"","",MID(F203, G203+1, H203-G203-1))</f>
        <v>204</v>
      </c>
      <c r="L203" s="2">
        <f>IF(J203&lt;&gt;"","",LEN(K203))</f>
        <v>3</v>
      </c>
      <c r="M203" s="2" t="str">
        <f>IF(J203&lt;&gt;"","",MID(F203, H203+1, I203-H203-1))</f>
        <v>152</v>
      </c>
      <c r="N203" s="2">
        <f>IF(J203&lt;&gt;"","",LEN(M203))</f>
        <v>3</v>
      </c>
      <c r="O203" s="2">
        <f>IF(J203&lt;&gt;"","",K203*M203)</f>
        <v>31008</v>
      </c>
      <c r="R203" s="1" t="str">
        <v>517,687)@ $^ )why()!</v>
      </c>
      <c r="S203" s="1" t="str">
        <v>786$$'$%why(</v>
      </c>
      <c r="T203" s="1" t="e">
        <v>#N/A</v>
      </c>
      <c r="U203" s="1" t="e">
        <v>#N/A</v>
      </c>
      <c r="V203" s="1">
        <v>0</v>
      </c>
      <c r="AH203" s="1" t="str">
        <v>739,708)select()(@:~)/&lt;@,</v>
      </c>
      <c r="AI203" s="1" t="str">
        <v>739,708</v>
      </c>
      <c r="AJ203" s="1" t="str">
        <v>739</v>
      </c>
      <c r="AK203" s="1" t="str">
        <v>708</v>
      </c>
      <c r="AL203" s="1">
        <v>523212</v>
      </c>
    </row>
    <row r="204" spans="4:38" x14ac:dyDescent="0.3">
      <c r="D204" s="2">
        <v>201</v>
      </c>
      <c r="E204" s="2">
        <f>SEARCH("mul",$C$4,E203+1)</f>
        <v>5003</v>
      </c>
      <c r="F204" s="2" t="str">
        <f>MID($C$4,E204,$F$1)</f>
        <v>mul(63,376)mul(</v>
      </c>
      <c r="G204" s="3">
        <f>SEARCH("(",F204)</f>
        <v>4</v>
      </c>
      <c r="H204" s="3">
        <f>SEARCH(",",F204)</f>
        <v>7</v>
      </c>
      <c r="I204" s="3">
        <f>SEARCH(")",F204)</f>
        <v>11</v>
      </c>
      <c r="J204" s="2" t="str">
        <f>IF(OR(ISERROR(G204),ISERROR(H204),ISERROR(I204)),"CORRUPT!","")</f>
        <v/>
      </c>
      <c r="K204" s="2" t="str">
        <f>IF(J204&lt;&gt;"","",MID(F204, G204+1, H204-G204-1))</f>
        <v>63</v>
      </c>
      <c r="L204" s="2">
        <f>IF(J204&lt;&gt;"","",LEN(K204))</f>
        <v>2</v>
      </c>
      <c r="M204" s="2" t="str">
        <f>IF(J204&lt;&gt;"","",MID(F204, H204+1, I204-H204-1))</f>
        <v>376</v>
      </c>
      <c r="N204" s="2">
        <f>IF(J204&lt;&gt;"","",LEN(M204))</f>
        <v>3</v>
      </c>
      <c r="O204" s="2">
        <f>IF(J204&lt;&gt;"","",K204*M204)</f>
        <v>23688</v>
      </c>
      <c r="R204" s="1" t="str">
        <v>865,593)where(918,337)!;</v>
      </c>
      <c r="S204" s="1" t="str">
        <v>667,335</v>
      </c>
      <c r="T204" s="1" t="str">
        <v>667</v>
      </c>
      <c r="U204" s="1" t="str">
        <v>335</v>
      </c>
      <c r="V204" s="1">
        <v>223445</v>
      </c>
      <c r="AH204" s="1" t="str">
        <v>794,354)&lt;</v>
      </c>
      <c r="AI204" s="1" t="str">
        <v>794,354</v>
      </c>
      <c r="AJ204" s="1" t="str">
        <v>794</v>
      </c>
      <c r="AK204" s="1" t="str">
        <v>354</v>
      </c>
      <c r="AL204" s="1">
        <v>281076</v>
      </c>
    </row>
    <row r="205" spans="4:38" x14ac:dyDescent="0.3">
      <c r="D205" s="2">
        <v>202</v>
      </c>
      <c r="E205" s="2">
        <f>SEARCH("mul",$C$4,E204+1)</f>
        <v>5014</v>
      </c>
      <c r="F205" s="2" t="str">
        <f>MID($C$4,E205,$F$1)</f>
        <v>mul(387,70)~@'{</v>
      </c>
      <c r="G205" s="3">
        <f>SEARCH("(",F205)</f>
        <v>4</v>
      </c>
      <c r="H205" s="3">
        <f>SEARCH(",",F205)</f>
        <v>8</v>
      </c>
      <c r="I205" s="3">
        <f>SEARCH(")",F205)</f>
        <v>11</v>
      </c>
      <c r="J205" s="2" t="str">
        <f>IF(OR(ISERROR(G205),ISERROR(H205),ISERROR(I205)),"CORRUPT!","")</f>
        <v/>
      </c>
      <c r="K205" s="2" t="str">
        <f>IF(J205&lt;&gt;"","",MID(F205, G205+1, H205-G205-1))</f>
        <v>387</v>
      </c>
      <c r="L205" s="2">
        <f>IF(J205&lt;&gt;"","",LEN(K205))</f>
        <v>3</v>
      </c>
      <c r="M205" s="2" t="str">
        <f>IF(J205&lt;&gt;"","",MID(F205, H205+1, I205-H205-1))</f>
        <v>70</v>
      </c>
      <c r="N205" s="2">
        <f>IF(J205&lt;&gt;"","",LEN(M205))</f>
        <v>2</v>
      </c>
      <c r="O205" s="2">
        <f>IF(J205&lt;&gt;"","",K205*M205)</f>
        <v>27090</v>
      </c>
      <c r="R205" s="1" t="str">
        <v>786$$'$%why()select()[~$why()</v>
      </c>
      <c r="S205" s="1" t="str">
        <v>582,456</v>
      </c>
      <c r="T205" s="1" t="str">
        <v>582</v>
      </c>
      <c r="U205" s="1" t="str">
        <v>456</v>
      </c>
      <c r="V205" s="1">
        <v>265392</v>
      </c>
      <c r="AH205" s="1" t="str">
        <v>874,298)what()why()$+</v>
      </c>
      <c r="AI205" s="1" t="str">
        <v>874,298</v>
      </c>
      <c r="AJ205" s="1" t="str">
        <v>874</v>
      </c>
      <c r="AK205" s="1" t="str">
        <v>298</v>
      </c>
      <c r="AL205" s="1">
        <v>260452</v>
      </c>
    </row>
    <row r="206" spans="4:38" x14ac:dyDescent="0.3">
      <c r="D206" s="2">
        <v>203</v>
      </c>
      <c r="E206" s="2">
        <f>SEARCH("mul",$C$4,E205+1)</f>
        <v>5033</v>
      </c>
      <c r="F206" s="2" t="str">
        <f>MID($C$4,E206,$F$1)</f>
        <v>mul(517,687)@ $</v>
      </c>
      <c r="G206" s="3">
        <f>SEARCH("(",F206)</f>
        <v>4</v>
      </c>
      <c r="H206" s="3">
        <f>SEARCH(",",F206)</f>
        <v>8</v>
      </c>
      <c r="I206" s="3">
        <f>SEARCH(")",F206)</f>
        <v>12</v>
      </c>
      <c r="J206" s="2" t="str">
        <f>IF(OR(ISERROR(G206),ISERROR(H206),ISERROR(I206)),"CORRUPT!","")</f>
        <v/>
      </c>
      <c r="K206" s="2" t="str">
        <f>IF(J206&lt;&gt;"","",MID(F206, G206+1, H206-G206-1))</f>
        <v>517</v>
      </c>
      <c r="L206" s="2">
        <f>IF(J206&lt;&gt;"","",LEN(K206))</f>
        <v>3</v>
      </c>
      <c r="M206" s="2" t="str">
        <f>IF(J206&lt;&gt;"","",MID(F206, H206+1, I206-H206-1))</f>
        <v>687</v>
      </c>
      <c r="N206" s="2">
        <f>IF(J206&lt;&gt;"","",LEN(M206))</f>
        <v>3</v>
      </c>
      <c r="O206" s="2">
        <f>IF(J206&lt;&gt;"","",K206*M206)</f>
        <v>355179</v>
      </c>
      <c r="R206" s="1" t="str">
        <v>667,335)~{+where()who()?from()</v>
      </c>
      <c r="S206" s="1" t="str">
        <v>927,806</v>
      </c>
      <c r="T206" s="1" t="str">
        <v>927</v>
      </c>
      <c r="U206" s="1" t="str">
        <v>806</v>
      </c>
      <c r="V206" s="1">
        <v>747162</v>
      </c>
      <c r="AH206" s="1" t="str">
        <v>669,535)&amp;!^</v>
      </c>
      <c r="AI206" s="1" t="str">
        <v>669,535</v>
      </c>
      <c r="AJ206" s="1" t="str">
        <v>669</v>
      </c>
      <c r="AK206" s="1" t="str">
        <v>535</v>
      </c>
      <c r="AL206" s="1">
        <v>357915</v>
      </c>
    </row>
    <row r="207" spans="4:38" x14ac:dyDescent="0.3">
      <c r="D207" s="2">
        <v>204</v>
      </c>
      <c r="E207" s="2">
        <f>SEARCH("mul",$C$4,E206+1)</f>
        <v>5057</v>
      </c>
      <c r="F207" s="2" t="str">
        <f>MID($C$4,E207,$F$1)</f>
        <v>mul(865,593)whe</v>
      </c>
      <c r="G207" s="3">
        <f>SEARCH("(",F207)</f>
        <v>4</v>
      </c>
      <c r="H207" s="3">
        <f>SEARCH(",",F207)</f>
        <v>8</v>
      </c>
      <c r="I207" s="3">
        <f>SEARCH(")",F207)</f>
        <v>12</v>
      </c>
      <c r="J207" s="2" t="str">
        <f>IF(OR(ISERROR(G207),ISERROR(H207),ISERROR(I207)),"CORRUPT!","")</f>
        <v/>
      </c>
      <c r="K207" s="2" t="str">
        <f>IF(J207&lt;&gt;"","",MID(F207, G207+1, H207-G207-1))</f>
        <v>865</v>
      </c>
      <c r="L207" s="2">
        <f>IF(J207&lt;&gt;"","",LEN(K207))</f>
        <v>3</v>
      </c>
      <c r="M207" s="2" t="str">
        <f>IF(J207&lt;&gt;"","",MID(F207, H207+1, I207-H207-1))</f>
        <v>593</v>
      </c>
      <c r="N207" s="2">
        <f>IF(J207&lt;&gt;"","",LEN(M207))</f>
        <v>3</v>
      </c>
      <c r="O207" s="2">
        <f>IF(J207&lt;&gt;"","",K207*M207)</f>
        <v>512945</v>
      </c>
      <c r="R207" s="1" t="str">
        <v>582,456)%,from()[from()how()</v>
      </c>
      <c r="S207" s="1" t="str">
        <v>460,721</v>
      </c>
      <c r="T207" s="1" t="str">
        <v>460</v>
      </c>
      <c r="U207" s="1" t="str">
        <v>721</v>
      </c>
      <c r="V207" s="1">
        <v>331660</v>
      </c>
      <c r="AH207" s="1" t="str">
        <v>260,4))</v>
      </c>
      <c r="AI207" s="1" t="str">
        <v>260,4</v>
      </c>
      <c r="AJ207" s="1" t="str">
        <v>260</v>
      </c>
      <c r="AK207" s="1" t="str">
        <v>4</v>
      </c>
      <c r="AL207" s="1">
        <v>1040</v>
      </c>
    </row>
    <row r="208" spans="4:38" x14ac:dyDescent="0.3">
      <c r="D208" s="2">
        <v>205</v>
      </c>
      <c r="E208" s="2">
        <f>SEARCH("mul",$C$4,E207+1)</f>
        <v>5085</v>
      </c>
      <c r="F208" s="2" t="str">
        <f>MID($C$4,E208,$F$1)</f>
        <v>mul(786$$'$%why</v>
      </c>
      <c r="G208" s="3">
        <f>SEARCH("(",F208)</f>
        <v>4</v>
      </c>
      <c r="H208" s="3" t="e">
        <f>SEARCH(",",F208)</f>
        <v>#VALUE!</v>
      </c>
      <c r="I208" s="3" t="e">
        <f>SEARCH(")",F208)</f>
        <v>#VALUE!</v>
      </c>
      <c r="J208" s="2" t="str">
        <f>IF(OR(ISERROR(G208),ISERROR(H208),ISERROR(I208)),"CORRUPT!","")</f>
        <v>CORRUPT!</v>
      </c>
      <c r="K208" s="2" t="str">
        <f>IF(J208&lt;&gt;"","",MID(F208, G208+1, H208-G208-1))</f>
        <v/>
      </c>
      <c r="L208" s="2" t="str">
        <f>IF(J208&lt;&gt;"","",LEN(K208))</f>
        <v/>
      </c>
      <c r="M208" s="2" t="str">
        <f>IF(J208&lt;&gt;"","",MID(F208, H208+1, I208-H208-1))</f>
        <v/>
      </c>
      <c r="N208" s="2" t="str">
        <f>IF(J208&lt;&gt;"","",LEN(M208))</f>
        <v/>
      </c>
      <c r="O208" s="2" t="str">
        <f>IF(J208&lt;&gt;"","",K208*M208)</f>
        <v/>
      </c>
      <c r="R208" s="1" t="str">
        <v>927,806)+(]?%</v>
      </c>
      <c r="S208" s="1" t="str">
        <v>66[*how(</v>
      </c>
      <c r="T208" s="1" t="e">
        <v>#N/A</v>
      </c>
      <c r="U208" s="1" t="e">
        <v>#N/A</v>
      </c>
      <c r="V208" s="1">
        <v>0</v>
      </c>
      <c r="AH208" s="1" t="str">
        <v>641,230)</v>
      </c>
      <c r="AI208" s="1" t="str">
        <v>641,230</v>
      </c>
      <c r="AJ208" s="1" t="str">
        <v>641</v>
      </c>
      <c r="AK208" s="1" t="str">
        <v>230</v>
      </c>
      <c r="AL208" s="1">
        <v>147430</v>
      </c>
    </row>
    <row r="209" spans="4:38" x14ac:dyDescent="0.3">
      <c r="D209" s="2">
        <v>206</v>
      </c>
      <c r="E209" s="2">
        <f>SEARCH("mul",$C$4,E208+1)</f>
        <v>5118</v>
      </c>
      <c r="F209" s="2" t="str">
        <f>MID($C$4,E209,$F$1)</f>
        <v>mul(667,335)~{+</v>
      </c>
      <c r="G209" s="3">
        <f>SEARCH("(",F209)</f>
        <v>4</v>
      </c>
      <c r="H209" s="3">
        <f>SEARCH(",",F209)</f>
        <v>8</v>
      </c>
      <c r="I209" s="3">
        <f>SEARCH(")",F209)</f>
        <v>12</v>
      </c>
      <c r="J209" s="2" t="str">
        <f>IF(OR(ISERROR(G209),ISERROR(H209),ISERROR(I209)),"CORRUPT!","")</f>
        <v/>
      </c>
      <c r="K209" s="2" t="str">
        <f>IF(J209&lt;&gt;"","",MID(F209, G209+1, H209-G209-1))</f>
        <v>667</v>
      </c>
      <c r="L209" s="2">
        <f>IF(J209&lt;&gt;"","",LEN(K209))</f>
        <v>3</v>
      </c>
      <c r="M209" s="2" t="str">
        <f>IF(J209&lt;&gt;"","",MID(F209, H209+1, I209-H209-1))</f>
        <v>335</v>
      </c>
      <c r="N209" s="2">
        <f>IF(J209&lt;&gt;"","",LEN(M209))</f>
        <v>3</v>
      </c>
      <c r="O209" s="2">
        <f>IF(J209&lt;&gt;"","",K209*M209)</f>
        <v>223445</v>
      </c>
      <c r="R209" s="1" t="str">
        <v>460,721)^^;^do(),how()when()select(435,369)}&amp;</v>
      </c>
      <c r="S209" s="1" t="str">
        <v>997,260</v>
      </c>
      <c r="T209" s="1" t="str">
        <v>997</v>
      </c>
      <c r="U209" s="1" t="str">
        <v>260</v>
      </c>
      <c r="V209" s="1">
        <v>259220</v>
      </c>
      <c r="AH209" s="1" t="str">
        <v>516,429)'</v>
      </c>
      <c r="AI209" s="1" t="str">
        <v>516,429</v>
      </c>
      <c r="AJ209" s="1" t="str">
        <v>516</v>
      </c>
      <c r="AK209" s="1" t="str">
        <v>429</v>
      </c>
      <c r="AL209" s="1">
        <v>221364</v>
      </c>
    </row>
    <row r="210" spans="4:38" x14ac:dyDescent="0.3">
      <c r="D210" s="2">
        <v>207</v>
      </c>
      <c r="E210" s="2">
        <f>SEARCH("mul",$C$4,E209+1)</f>
        <v>5152</v>
      </c>
      <c r="F210" s="2" t="str">
        <f>MID($C$4,E210,$F$1)</f>
        <v>mul(582,456)%,f</v>
      </c>
      <c r="G210" s="3">
        <f>SEARCH("(",F210)</f>
        <v>4</v>
      </c>
      <c r="H210" s="3">
        <f>SEARCH(",",F210)</f>
        <v>8</v>
      </c>
      <c r="I210" s="3">
        <f>SEARCH(")",F210)</f>
        <v>12</v>
      </c>
      <c r="J210" s="2" t="str">
        <f>IF(OR(ISERROR(G210),ISERROR(H210),ISERROR(I210)),"CORRUPT!","")</f>
        <v/>
      </c>
      <c r="K210" s="2" t="str">
        <f>IF(J210&lt;&gt;"","",MID(F210, G210+1, H210-G210-1))</f>
        <v>582</v>
      </c>
      <c r="L210" s="2">
        <f>IF(J210&lt;&gt;"","",LEN(K210))</f>
        <v>3</v>
      </c>
      <c r="M210" s="2" t="str">
        <f>IF(J210&lt;&gt;"","",MID(F210, H210+1, I210-H210-1))</f>
        <v>456</v>
      </c>
      <c r="N210" s="2">
        <f>IF(J210&lt;&gt;"","",LEN(M210))</f>
        <v>3</v>
      </c>
      <c r="O210" s="2">
        <f>IF(J210&lt;&gt;"","",K210*M210)</f>
        <v>265392</v>
      </c>
      <c r="R210" s="1" t="str">
        <v>66[*how();&gt;why()(%{how()&lt;</v>
      </c>
      <c r="S210" s="1" t="str">
        <v>506,521</v>
      </c>
      <c r="T210" s="1" t="str">
        <v>506</v>
      </c>
      <c r="U210" s="1" t="str">
        <v>521</v>
      </c>
      <c r="V210" s="1">
        <v>263626</v>
      </c>
      <c r="AH210" s="1" t="str">
        <v>141,983)!}when()select()where()+}[)^[(' ]%^~%</v>
      </c>
      <c r="AI210" s="1" t="str">
        <v>141,983</v>
      </c>
      <c r="AJ210" s="1" t="str">
        <v>141</v>
      </c>
      <c r="AK210" s="1" t="str">
        <v>983</v>
      </c>
      <c r="AL210" s="1">
        <v>138603</v>
      </c>
    </row>
    <row r="211" spans="4:38" x14ac:dyDescent="0.3">
      <c r="D211" s="2">
        <v>208</v>
      </c>
      <c r="E211" s="2">
        <f>SEARCH("mul",$C$4,E210+1)</f>
        <v>5184</v>
      </c>
      <c r="F211" s="2" t="str">
        <f>MID($C$4,E211,$F$1)</f>
        <v>mul(927,806)+(]</v>
      </c>
      <c r="G211" s="3">
        <f>SEARCH("(",F211)</f>
        <v>4</v>
      </c>
      <c r="H211" s="3">
        <f>SEARCH(",",F211)</f>
        <v>8</v>
      </c>
      <c r="I211" s="3">
        <f>SEARCH(")",F211)</f>
        <v>12</v>
      </c>
      <c r="J211" s="2" t="str">
        <f>IF(OR(ISERROR(G211),ISERROR(H211),ISERROR(I211)),"CORRUPT!","")</f>
        <v/>
      </c>
      <c r="K211" s="2" t="str">
        <f>IF(J211&lt;&gt;"","",MID(F211, G211+1, H211-G211-1))</f>
        <v>927</v>
      </c>
      <c r="L211" s="2">
        <f>IF(J211&lt;&gt;"","",LEN(K211))</f>
        <v>3</v>
      </c>
      <c r="M211" s="2" t="str">
        <f>IF(J211&lt;&gt;"","",MID(F211, H211+1, I211-H211-1))</f>
        <v>806</v>
      </c>
      <c r="N211" s="2">
        <f>IF(J211&lt;&gt;"","",LEN(M211))</f>
        <v>3</v>
      </c>
      <c r="O211" s="2">
        <f>IF(J211&lt;&gt;"","",K211*M211)</f>
        <v>747162</v>
      </c>
      <c r="R211" s="1" t="str">
        <v>997,260):'do()%::&amp;what()}*who()</v>
      </c>
      <c r="S211" s="1" t="str">
        <v>538,407</v>
      </c>
      <c r="T211" s="1" t="str">
        <v>538</v>
      </c>
      <c r="U211" s="1" t="str">
        <v>407</v>
      </c>
      <c r="V211" s="1">
        <v>218966</v>
      </c>
      <c r="AH211" s="1" t="str">
        <v>122,243)why();[how(951,959)how(435,882)~*-#why()[what()what()'</v>
      </c>
      <c r="AI211" s="1" t="str">
        <v>122,243</v>
      </c>
      <c r="AJ211" s="1" t="str">
        <v>122</v>
      </c>
      <c r="AK211" s="1" t="str">
        <v>243</v>
      </c>
      <c r="AL211" s="1">
        <v>29646</v>
      </c>
    </row>
    <row r="212" spans="4:38" x14ac:dyDescent="0.3">
      <c r="D212" s="2">
        <v>209</v>
      </c>
      <c r="E212" s="2">
        <f>SEARCH("mul",$C$4,E211+1)</f>
        <v>5201</v>
      </c>
      <c r="F212" s="2" t="str">
        <f>MID($C$4,E212,$F$1)</f>
        <v>mul(460,721)^^;</v>
      </c>
      <c r="G212" s="3">
        <f>SEARCH("(",F212)</f>
        <v>4</v>
      </c>
      <c r="H212" s="3">
        <f>SEARCH(",",F212)</f>
        <v>8</v>
      </c>
      <c r="I212" s="3">
        <f>SEARCH(")",F212)</f>
        <v>12</v>
      </c>
      <c r="J212" s="2" t="str">
        <f>IF(OR(ISERROR(G212),ISERROR(H212),ISERROR(I212)),"CORRUPT!","")</f>
        <v/>
      </c>
      <c r="K212" s="2" t="str">
        <f>IF(J212&lt;&gt;"","",MID(F212, G212+1, H212-G212-1))</f>
        <v>460</v>
      </c>
      <c r="L212" s="2">
        <f>IF(J212&lt;&gt;"","",LEN(K212))</f>
        <v>3</v>
      </c>
      <c r="M212" s="2" t="str">
        <f>IF(J212&lt;&gt;"","",MID(F212, H212+1, I212-H212-1))</f>
        <v>721</v>
      </c>
      <c r="N212" s="2">
        <f>IF(J212&lt;&gt;"","",LEN(M212))</f>
        <v>3</v>
      </c>
      <c r="O212" s="2">
        <f>IF(J212&lt;&gt;"","",K212*M212)</f>
        <v>331660</v>
      </c>
      <c r="R212" s="1" t="str">
        <v>506,521)'who()%/!why()*&amp;!don't()#@&amp;</v>
      </c>
      <c r="S212" s="1" t="str">
        <v>84,106</v>
      </c>
      <c r="T212" s="1" t="str">
        <v>84</v>
      </c>
      <c r="U212" s="1" t="str">
        <v>106</v>
      </c>
      <c r="V212" s="1">
        <v>8904</v>
      </c>
      <c r="AH212" s="1" t="str">
        <v>218,944)!)&amp;&gt;'(where()+</v>
      </c>
      <c r="AI212" s="1" t="str">
        <v>218,944</v>
      </c>
      <c r="AJ212" s="1" t="str">
        <v>218</v>
      </c>
      <c r="AK212" s="1" t="str">
        <v>944</v>
      </c>
      <c r="AL212" s="1">
        <v>205792</v>
      </c>
    </row>
    <row r="213" spans="4:38" x14ac:dyDescent="0.3">
      <c r="D213" s="2">
        <v>210</v>
      </c>
      <c r="E213" s="2">
        <f>SEARCH("mul",$C$4,E212+1)</f>
        <v>5250</v>
      </c>
      <c r="F213" s="2" t="str">
        <f>MID($C$4,E213,$F$1)</f>
        <v>mul(66[*how();&gt;</v>
      </c>
      <c r="G213" s="3">
        <f>SEARCH("(",F213)</f>
        <v>4</v>
      </c>
      <c r="H213" s="3" t="e">
        <f>SEARCH(",",F213)</f>
        <v>#VALUE!</v>
      </c>
      <c r="I213" s="3">
        <f>SEARCH(")",F213)</f>
        <v>13</v>
      </c>
      <c r="J213" s="2" t="str">
        <f>IF(OR(ISERROR(G213),ISERROR(H213),ISERROR(I213)),"CORRUPT!","")</f>
        <v>CORRUPT!</v>
      </c>
      <c r="K213" s="2" t="str">
        <f>IF(J213&lt;&gt;"","",MID(F213, G213+1, H213-G213-1))</f>
        <v/>
      </c>
      <c r="L213" s="2" t="str">
        <f>IF(J213&lt;&gt;"","",LEN(K213))</f>
        <v/>
      </c>
      <c r="M213" s="2" t="str">
        <f>IF(J213&lt;&gt;"","",MID(F213, H213+1, I213-H213-1))</f>
        <v/>
      </c>
      <c r="N213" s="2" t="str">
        <f>IF(J213&lt;&gt;"","",LEN(M213))</f>
        <v/>
      </c>
      <c r="O213" s="2" t="str">
        <f>IF(J213&lt;&gt;"","",K213*M213)</f>
        <v/>
      </c>
      <c r="R213" s="1" t="str">
        <v>538,407)'^</v>
      </c>
      <c r="S213" s="1" t="str">
        <v>105,225</v>
      </c>
      <c r="T213" s="1" t="str">
        <v>105</v>
      </c>
      <c r="U213" s="1" t="str">
        <v>225</v>
      </c>
      <c r="V213" s="1">
        <v>23625</v>
      </c>
      <c r="AH213" s="1" t="str">
        <v>686,595)#&amp;when()</v>
      </c>
      <c r="AI213" s="1" t="str">
        <v>686,595</v>
      </c>
      <c r="AJ213" s="1" t="str">
        <v>686</v>
      </c>
      <c r="AK213" s="1" t="str">
        <v>595</v>
      </c>
      <c r="AL213" s="1">
        <v>408170</v>
      </c>
    </row>
    <row r="214" spans="4:38" x14ac:dyDescent="0.3">
      <c r="D214" s="2">
        <v>211</v>
      </c>
      <c r="E214" s="2">
        <f>SEARCH("mul",$C$4,E213+1)</f>
        <v>5279</v>
      </c>
      <c r="F214" s="2" t="str">
        <f>MID($C$4,E214,$F$1)</f>
        <v>mul(997,260):'d</v>
      </c>
      <c r="G214" s="3">
        <f>SEARCH("(",F214)</f>
        <v>4</v>
      </c>
      <c r="H214" s="3">
        <f>SEARCH(",",F214)</f>
        <v>8</v>
      </c>
      <c r="I214" s="3">
        <f>SEARCH(")",F214)</f>
        <v>12</v>
      </c>
      <c r="J214" s="2" t="str">
        <f>IF(OR(ISERROR(G214),ISERROR(H214),ISERROR(I214)),"CORRUPT!","")</f>
        <v/>
      </c>
      <c r="K214" s="2" t="str">
        <f>IF(J214&lt;&gt;"","",MID(F214, G214+1, H214-G214-1))</f>
        <v>997</v>
      </c>
      <c r="L214" s="2">
        <f>IF(J214&lt;&gt;"","",LEN(K214))</f>
        <v>3</v>
      </c>
      <c r="M214" s="2" t="str">
        <f>IF(J214&lt;&gt;"","",MID(F214, H214+1, I214-H214-1))</f>
        <v>260</v>
      </c>
      <c r="N214" s="2">
        <f>IF(J214&lt;&gt;"","",LEN(M214))</f>
        <v>3</v>
      </c>
      <c r="O214" s="2">
        <f>IF(J214&lt;&gt;"","",K214*M214)</f>
        <v>259220</v>
      </c>
      <c r="R214" s="1" t="str">
        <v>84,106)'},#^where()%</v>
      </c>
      <c r="S214" s="1" t="str">
        <v>49,421</v>
      </c>
      <c r="T214" s="1" t="str">
        <v>49</v>
      </c>
      <c r="U214" s="1" t="str">
        <v>421</v>
      </c>
      <c r="V214" s="1">
        <v>20629</v>
      </c>
      <c r="AH214" s="1" t="str">
        <v>916,990))what()</v>
      </c>
      <c r="AI214" s="1" t="str">
        <v>916,990</v>
      </c>
      <c r="AJ214" s="1" t="str">
        <v>916</v>
      </c>
      <c r="AK214" s="1" t="str">
        <v>990</v>
      </c>
      <c r="AL214" s="1">
        <v>906840</v>
      </c>
    </row>
    <row r="215" spans="4:38" x14ac:dyDescent="0.3">
      <c r="D215" s="2">
        <v>212</v>
      </c>
      <c r="E215" s="2">
        <f>SEARCH("mul",$C$4,E214+1)</f>
        <v>5314</v>
      </c>
      <c r="F215" s="2" t="str">
        <f>MID($C$4,E215,$F$1)</f>
        <v>mul(506,521)'wh</v>
      </c>
      <c r="G215" s="3">
        <f>SEARCH("(",F215)</f>
        <v>4</v>
      </c>
      <c r="H215" s="3">
        <f>SEARCH(",",F215)</f>
        <v>8</v>
      </c>
      <c r="I215" s="3">
        <f>SEARCH(")",F215)</f>
        <v>12</v>
      </c>
      <c r="J215" s="2" t="str">
        <f>IF(OR(ISERROR(G215),ISERROR(H215),ISERROR(I215)),"CORRUPT!","")</f>
        <v/>
      </c>
      <c r="K215" s="2" t="str">
        <f>IF(J215&lt;&gt;"","",MID(F215, G215+1, H215-G215-1))</f>
        <v>506</v>
      </c>
      <c r="L215" s="2">
        <f>IF(J215&lt;&gt;"","",LEN(K215))</f>
        <v>3</v>
      </c>
      <c r="M215" s="2" t="str">
        <f>IF(J215&lt;&gt;"","",MID(F215, H215+1, I215-H215-1))</f>
        <v>521</v>
      </c>
      <c r="N215" s="2">
        <f>IF(J215&lt;&gt;"","",LEN(M215))</f>
        <v>3</v>
      </c>
      <c r="O215" s="2">
        <f>IF(J215&lt;&gt;"","",K215*M215)</f>
        <v>263626</v>
      </c>
      <c r="R215" s="1" t="str">
        <v>105,225)-what()/how()/from()</v>
      </c>
      <c r="S215" s="1" t="str">
        <v>707,127</v>
      </c>
      <c r="T215" s="1" t="str">
        <v>707</v>
      </c>
      <c r="U215" s="1" t="str">
        <v>127</v>
      </c>
      <c r="V215" s="1">
        <v>89789</v>
      </c>
      <c r="AH215" s="1" t="str">
        <v>414,411)&gt;why()&amp;select()!}why() ?&gt;</v>
      </c>
      <c r="AI215" s="1" t="str">
        <v>414,411</v>
      </c>
      <c r="AJ215" s="1" t="str">
        <v>414</v>
      </c>
      <c r="AK215" s="1" t="str">
        <v>411</v>
      </c>
      <c r="AL215" s="1">
        <v>170154</v>
      </c>
    </row>
    <row r="216" spans="4:38" x14ac:dyDescent="0.3">
      <c r="D216" s="2">
        <v>213</v>
      </c>
      <c r="E216" s="2">
        <f>SEARCH("mul",$C$4,E215+1)</f>
        <v>5353</v>
      </c>
      <c r="F216" s="2" t="str">
        <f>MID($C$4,E216,$F$1)</f>
        <v>mul(538,407)'^m</v>
      </c>
      <c r="G216" s="3">
        <f>SEARCH("(",F216)</f>
        <v>4</v>
      </c>
      <c r="H216" s="3">
        <f>SEARCH(",",F216)</f>
        <v>8</v>
      </c>
      <c r="I216" s="3">
        <f>SEARCH(")",F216)</f>
        <v>12</v>
      </c>
      <c r="J216" s="2" t="str">
        <f>IF(OR(ISERROR(G216),ISERROR(H216),ISERROR(I216)),"CORRUPT!","")</f>
        <v/>
      </c>
      <c r="K216" s="2" t="str">
        <f>IF(J216&lt;&gt;"","",MID(F216, G216+1, H216-G216-1))</f>
        <v>538</v>
      </c>
      <c r="L216" s="2">
        <f>IF(J216&lt;&gt;"","",LEN(K216))</f>
        <v>3</v>
      </c>
      <c r="M216" s="2" t="str">
        <f>IF(J216&lt;&gt;"","",MID(F216, H216+1, I216-H216-1))</f>
        <v>407</v>
      </c>
      <c r="N216" s="2">
        <f>IF(J216&lt;&gt;"","",LEN(M216))</f>
        <v>3</v>
      </c>
      <c r="O216" s="2">
        <f>IF(J216&lt;&gt;"","",K216*M216)</f>
        <v>218966</v>
      </c>
      <c r="R216" s="1" t="str">
        <v>49,421)@$)[)?why()'#}</v>
      </c>
      <c r="S216" s="1" t="str">
        <v>732,645</v>
      </c>
      <c r="T216" s="1" t="str">
        <v>732</v>
      </c>
      <c r="U216" s="1" t="str">
        <v>645</v>
      </c>
      <c r="V216" s="1">
        <v>472140</v>
      </c>
      <c r="AH216" s="1" t="str">
        <v>820,386)select()</v>
      </c>
      <c r="AI216" s="1" t="str">
        <v>820,386</v>
      </c>
      <c r="AJ216" s="1" t="str">
        <v>820</v>
      </c>
      <c r="AK216" s="1" t="str">
        <v>386</v>
      </c>
      <c r="AL216" s="1">
        <v>316520</v>
      </c>
    </row>
    <row r="217" spans="4:38" x14ac:dyDescent="0.3">
      <c r="D217" s="2">
        <v>214</v>
      </c>
      <c r="E217" s="2">
        <f>SEARCH("mul",$C$4,E216+1)</f>
        <v>5367</v>
      </c>
      <c r="F217" s="2" t="str">
        <f>MID($C$4,E217,$F$1)</f>
        <v>mul(84,106)'},#</v>
      </c>
      <c r="G217" s="3">
        <f>SEARCH("(",F217)</f>
        <v>4</v>
      </c>
      <c r="H217" s="3">
        <f>SEARCH(",",F217)</f>
        <v>7</v>
      </c>
      <c r="I217" s="3">
        <f>SEARCH(")",F217)</f>
        <v>11</v>
      </c>
      <c r="J217" s="2" t="str">
        <f>IF(OR(ISERROR(G217),ISERROR(H217),ISERROR(I217)),"CORRUPT!","")</f>
        <v/>
      </c>
      <c r="K217" s="2" t="str">
        <f>IF(J217&lt;&gt;"","",MID(F217, G217+1, H217-G217-1))</f>
        <v>84</v>
      </c>
      <c r="L217" s="2">
        <f>IF(J217&lt;&gt;"","",LEN(K217))</f>
        <v>2</v>
      </c>
      <c r="M217" s="2" t="str">
        <f>IF(J217&lt;&gt;"","",MID(F217, H217+1, I217-H217-1))</f>
        <v>106</v>
      </c>
      <c r="N217" s="2">
        <f>IF(J217&lt;&gt;"","",LEN(M217))</f>
        <v>3</v>
      </c>
      <c r="O217" s="2">
        <f>IF(J217&lt;&gt;"","",K217*M217)</f>
        <v>8904</v>
      </c>
      <c r="R217" s="1" t="str">
        <v>707,127)@when() &amp;(</v>
      </c>
      <c r="S217" s="1" t="str">
        <v>566,427</v>
      </c>
      <c r="T217" s="1" t="str">
        <v>566</v>
      </c>
      <c r="U217" s="1" t="str">
        <v>427</v>
      </c>
      <c r="V217" s="1">
        <v>241682</v>
      </c>
      <c r="AH217" s="1" t="str">
        <v>324,473)</v>
      </c>
      <c r="AI217" s="1" t="str">
        <v>324,473</v>
      </c>
      <c r="AJ217" s="1" t="str">
        <v>324</v>
      </c>
      <c r="AK217" s="1" t="str">
        <v>473</v>
      </c>
      <c r="AL217" s="1">
        <v>153252</v>
      </c>
    </row>
    <row r="218" spans="4:38" x14ac:dyDescent="0.3">
      <c r="D218" s="2">
        <v>215</v>
      </c>
      <c r="E218" s="2">
        <f>SEARCH("mul",$C$4,E217+1)</f>
        <v>5391</v>
      </c>
      <c r="F218" s="2" t="str">
        <f>MID($C$4,E218,$F$1)</f>
        <v>mul(105,225)-wh</v>
      </c>
      <c r="G218" s="3">
        <f>SEARCH("(",F218)</f>
        <v>4</v>
      </c>
      <c r="H218" s="3">
        <f>SEARCH(",",F218)</f>
        <v>8</v>
      </c>
      <c r="I218" s="3">
        <f>SEARCH(")",F218)</f>
        <v>12</v>
      </c>
      <c r="J218" s="2" t="str">
        <f>IF(OR(ISERROR(G218),ISERROR(H218),ISERROR(I218)),"CORRUPT!","")</f>
        <v/>
      </c>
      <c r="K218" s="2" t="str">
        <f>IF(J218&lt;&gt;"","",MID(F218, G218+1, H218-G218-1))</f>
        <v>105</v>
      </c>
      <c r="L218" s="2">
        <f>IF(J218&lt;&gt;"","",LEN(K218))</f>
        <v>3</v>
      </c>
      <c r="M218" s="2" t="str">
        <f>IF(J218&lt;&gt;"","",MID(F218, H218+1, I218-H218-1))</f>
        <v>225</v>
      </c>
      <c r="N218" s="2">
        <f>IF(J218&lt;&gt;"","",LEN(M218))</f>
        <v>3</v>
      </c>
      <c r="O218" s="2">
        <f>IF(J218&lt;&gt;"","",K218*M218)</f>
        <v>23625</v>
      </c>
      <c r="R218" s="1" t="str">
        <v>732,645)'from()'*when()why()from()[who(850,51)?</v>
      </c>
      <c r="S218" s="1" t="str">
        <v>42,665</v>
      </c>
      <c r="T218" s="1" t="str">
        <v>42</v>
      </c>
      <c r="U218" s="1" t="str">
        <v>665</v>
      </c>
      <c r="V218" s="1">
        <v>27930</v>
      </c>
      <c r="AH218" s="1" t="str">
        <v>690,413)!&gt;$why()</v>
      </c>
      <c r="AI218" s="1" t="str">
        <v>690,413</v>
      </c>
      <c r="AJ218" s="1" t="str">
        <v>690</v>
      </c>
      <c r="AK218" s="1" t="str">
        <v>413</v>
      </c>
      <c r="AL218" s="1">
        <v>284970</v>
      </c>
    </row>
    <row r="219" spans="4:38" x14ac:dyDescent="0.3">
      <c r="D219" s="2">
        <v>216</v>
      </c>
      <c r="E219" s="2">
        <f>SEARCH("mul",$C$4,E218+1)</f>
        <v>5423</v>
      </c>
      <c r="F219" s="2" t="str">
        <f>MID($C$4,E219,$F$1)</f>
        <v>mul(49,421)@$)[</v>
      </c>
      <c r="G219" s="3">
        <f>SEARCH("(",F219)</f>
        <v>4</v>
      </c>
      <c r="H219" s="3">
        <f>SEARCH(",",F219)</f>
        <v>7</v>
      </c>
      <c r="I219" s="3">
        <f>SEARCH(")",F219)</f>
        <v>11</v>
      </c>
      <c r="J219" s="2" t="str">
        <f>IF(OR(ISERROR(G219),ISERROR(H219),ISERROR(I219)),"CORRUPT!","")</f>
        <v/>
      </c>
      <c r="K219" s="2" t="str">
        <f>IF(J219&lt;&gt;"","",MID(F219, G219+1, H219-G219-1))</f>
        <v>49</v>
      </c>
      <c r="L219" s="2">
        <f>IF(J219&lt;&gt;"","",LEN(K219))</f>
        <v>2</v>
      </c>
      <c r="M219" s="2" t="str">
        <f>IF(J219&lt;&gt;"","",MID(F219, H219+1, I219-H219-1))</f>
        <v>421</v>
      </c>
      <c r="N219" s="2">
        <f>IF(J219&lt;&gt;"","",LEN(M219))</f>
        <v>3</v>
      </c>
      <c r="O219" s="2">
        <f>IF(J219&lt;&gt;"","",K219*M219)</f>
        <v>20629</v>
      </c>
      <c r="R219" s="1" t="str">
        <v>566,427)how()&gt;who()]',from()'how()why()</v>
      </c>
      <c r="S219" s="1" t="str">
        <v>684,645</v>
      </c>
      <c r="T219" s="1" t="str">
        <v>684</v>
      </c>
      <c r="U219" s="1" t="str">
        <v>645</v>
      </c>
      <c r="V219" s="1">
        <v>441180</v>
      </c>
      <c r="AH219" s="1" t="str">
        <v>23,907)who()%&lt;who()))how()^</v>
      </c>
      <c r="AI219" s="1" t="str">
        <v>23,907</v>
      </c>
      <c r="AJ219" s="1" t="str">
        <v>23</v>
      </c>
      <c r="AK219" s="1" t="str">
        <v>907</v>
      </c>
      <c r="AL219" s="1">
        <v>20861</v>
      </c>
    </row>
    <row r="220" spans="4:38" x14ac:dyDescent="0.3">
      <c r="D220" s="2">
        <v>217</v>
      </c>
      <c r="E220" s="2">
        <f>SEARCH("mul",$C$4,E219+1)</f>
        <v>5448</v>
      </c>
      <c r="F220" s="2" t="str">
        <f>MID($C$4,E220,$F$1)</f>
        <v>mul(707,127)@wh</v>
      </c>
      <c r="G220" s="3">
        <f>SEARCH("(",F220)</f>
        <v>4</v>
      </c>
      <c r="H220" s="3">
        <f>SEARCH(",",F220)</f>
        <v>8</v>
      </c>
      <c r="I220" s="3">
        <f>SEARCH(")",F220)</f>
        <v>12</v>
      </c>
      <c r="J220" s="2" t="str">
        <f>IF(OR(ISERROR(G220),ISERROR(H220),ISERROR(I220)),"CORRUPT!","")</f>
        <v/>
      </c>
      <c r="K220" s="2" t="str">
        <f>IF(J220&lt;&gt;"","",MID(F220, G220+1, H220-G220-1))</f>
        <v>707</v>
      </c>
      <c r="L220" s="2">
        <f>IF(J220&lt;&gt;"","",LEN(K220))</f>
        <v>3</v>
      </c>
      <c r="M220" s="2" t="str">
        <f>IF(J220&lt;&gt;"","",MID(F220, H220+1, I220-H220-1))</f>
        <v>127</v>
      </c>
      <c r="N220" s="2">
        <f>IF(J220&lt;&gt;"","",LEN(M220))</f>
        <v>3</v>
      </c>
      <c r="O220" s="2">
        <f>IF(J220&lt;&gt;"","",K220*M220)</f>
        <v>89789</v>
      </c>
      <c r="R220" s="1" t="str">
        <v>42,665)%'# [}</v>
      </c>
      <c r="S220" s="1" t="str">
        <v>115,930</v>
      </c>
      <c r="T220" s="1" t="str">
        <v>115</v>
      </c>
      <c r="U220" s="1" t="str">
        <v>930</v>
      </c>
      <c r="V220" s="1">
        <v>106950</v>
      </c>
      <c r="AH220" s="1" t="str">
        <v>65,111)where()^$</v>
      </c>
      <c r="AI220" s="1" t="str">
        <v>65,111</v>
      </c>
      <c r="AJ220" s="1" t="str">
        <v>65</v>
      </c>
      <c r="AK220" s="1" t="str">
        <v>111</v>
      </c>
      <c r="AL220" s="1">
        <v>7215</v>
      </c>
    </row>
    <row r="221" spans="4:38" x14ac:dyDescent="0.3">
      <c r="D221" s="2">
        <v>218</v>
      </c>
      <c r="E221" s="2">
        <f>SEARCH("mul",$C$4,E220+1)</f>
        <v>5470</v>
      </c>
      <c r="F221" s="2" t="str">
        <f>MID($C$4,E221,$F$1)</f>
        <v>mul(732,645)'fr</v>
      </c>
      <c r="G221" s="3">
        <f>SEARCH("(",F221)</f>
        <v>4</v>
      </c>
      <c r="H221" s="3">
        <f>SEARCH(",",F221)</f>
        <v>8</v>
      </c>
      <c r="I221" s="3">
        <f>SEARCH(")",F221)</f>
        <v>12</v>
      </c>
      <c r="J221" s="2" t="str">
        <f>IF(OR(ISERROR(G221),ISERROR(H221),ISERROR(I221)),"CORRUPT!","")</f>
        <v/>
      </c>
      <c r="K221" s="2" t="str">
        <f>IF(J221&lt;&gt;"","",MID(F221, G221+1, H221-G221-1))</f>
        <v>732</v>
      </c>
      <c r="L221" s="2">
        <f>IF(J221&lt;&gt;"","",LEN(K221))</f>
        <v>3</v>
      </c>
      <c r="M221" s="2" t="str">
        <f>IF(J221&lt;&gt;"","",MID(F221, H221+1, I221-H221-1))</f>
        <v>645</v>
      </c>
      <c r="N221" s="2">
        <f>IF(J221&lt;&gt;"","",LEN(M221))</f>
        <v>3</v>
      </c>
      <c r="O221" s="2">
        <f>IF(J221&lt;&gt;"","",K221*M221)</f>
        <v>472140</v>
      </c>
      <c r="R221" s="1" t="str">
        <v>684,645){{%'</v>
      </c>
      <c r="S221" s="1" t="str">
        <v>552,181</v>
      </c>
      <c r="T221" s="1" t="str">
        <v>552</v>
      </c>
      <c r="U221" s="1" t="str">
        <v>181</v>
      </c>
      <c r="V221" s="1">
        <v>99912</v>
      </c>
      <c r="AH221" s="1" t="str">
        <v xml:space="preserve">793,643)&amp;who() </v>
      </c>
      <c r="AI221" s="1" t="str">
        <v>793,643</v>
      </c>
      <c r="AJ221" s="1" t="str">
        <v>793</v>
      </c>
      <c r="AK221" s="1" t="str">
        <v>643</v>
      </c>
      <c r="AL221" s="1">
        <v>509899</v>
      </c>
    </row>
    <row r="222" spans="4:38" x14ac:dyDescent="0.3">
      <c r="D222" s="2">
        <v>219</v>
      </c>
      <c r="E222" s="2">
        <f>SEARCH("mul",$C$4,E221+1)</f>
        <v>5521</v>
      </c>
      <c r="F222" s="2" t="str">
        <f>MID($C$4,E222,$F$1)</f>
        <v>mul(566,427)how</v>
      </c>
      <c r="G222" s="3">
        <f>SEARCH("(",F222)</f>
        <v>4</v>
      </c>
      <c r="H222" s="3">
        <f>SEARCH(",",F222)</f>
        <v>8</v>
      </c>
      <c r="I222" s="3">
        <f>SEARCH(")",F222)</f>
        <v>12</v>
      </c>
      <c r="J222" s="2" t="str">
        <f>IF(OR(ISERROR(G222),ISERROR(H222),ISERROR(I222)),"CORRUPT!","")</f>
        <v/>
      </c>
      <c r="K222" s="2" t="str">
        <f>IF(J222&lt;&gt;"","",MID(F222, G222+1, H222-G222-1))</f>
        <v>566</v>
      </c>
      <c r="L222" s="2">
        <f>IF(J222&lt;&gt;"","",LEN(K222))</f>
        <v>3</v>
      </c>
      <c r="M222" s="2" t="str">
        <f>IF(J222&lt;&gt;"","",MID(F222, H222+1, I222-H222-1))</f>
        <v>427</v>
      </c>
      <c r="N222" s="2">
        <f>IF(J222&lt;&gt;"","",LEN(M222))</f>
        <v>3</v>
      </c>
      <c r="O222" s="2">
        <f>IF(J222&lt;&gt;"","",K222*M222)</f>
        <v>241682</v>
      </c>
      <c r="R222" s="1" t="str">
        <v>115,930)</v>
      </c>
      <c r="S222" s="1" t="str">
        <v>762,163</v>
      </c>
      <c r="T222" s="1" t="str">
        <v>762</v>
      </c>
      <c r="U222" s="1" t="str">
        <v>163</v>
      </c>
      <c r="V222" s="1">
        <v>124206</v>
      </c>
      <c r="AH222" s="1" t="str">
        <v>481,441)+&lt;</v>
      </c>
      <c r="AI222" s="1" t="str">
        <v>481,441</v>
      </c>
      <c r="AJ222" s="1" t="str">
        <v>481</v>
      </c>
      <c r="AK222" s="1" t="str">
        <v>441</v>
      </c>
      <c r="AL222" s="1">
        <v>212121</v>
      </c>
    </row>
    <row r="223" spans="4:38" x14ac:dyDescent="0.3">
      <c r="D223" s="2">
        <v>220</v>
      </c>
      <c r="E223" s="2">
        <f>SEARCH("mul",$C$4,E222+1)</f>
        <v>5564</v>
      </c>
      <c r="F223" s="2" t="str">
        <f>MID($C$4,E223,$F$1)</f>
        <v xml:space="preserve">mul(42,665)%'# </v>
      </c>
      <c r="G223" s="3">
        <f>SEARCH("(",F223)</f>
        <v>4</v>
      </c>
      <c r="H223" s="3">
        <f>SEARCH(",",F223)</f>
        <v>7</v>
      </c>
      <c r="I223" s="3">
        <f>SEARCH(")",F223)</f>
        <v>11</v>
      </c>
      <c r="J223" s="2" t="str">
        <f>IF(OR(ISERROR(G223),ISERROR(H223),ISERROR(I223)),"CORRUPT!","")</f>
        <v/>
      </c>
      <c r="K223" s="2" t="str">
        <f>IF(J223&lt;&gt;"","",MID(F223, G223+1, H223-G223-1))</f>
        <v>42</v>
      </c>
      <c r="L223" s="2">
        <f>IF(J223&lt;&gt;"","",LEN(K223))</f>
        <v>2</v>
      </c>
      <c r="M223" s="2" t="str">
        <f>IF(J223&lt;&gt;"","",MID(F223, H223+1, I223-H223-1))</f>
        <v>665</v>
      </c>
      <c r="N223" s="2">
        <f>IF(J223&lt;&gt;"","",LEN(M223))</f>
        <v>3</v>
      </c>
      <c r="O223" s="2">
        <f>IF(J223&lt;&gt;"","",K223*M223)</f>
        <v>27930</v>
      </c>
      <c r="R223" s="1" t="str">
        <v>552,181)</v>
      </c>
      <c r="S223" s="1" t="str">
        <v>202,193</v>
      </c>
      <c r="T223" s="1" t="str">
        <v>202</v>
      </c>
      <c r="U223" s="1" t="str">
        <v>193</v>
      </c>
      <c r="V223" s="1">
        <v>38986</v>
      </c>
      <c r="AH223" s="1" t="str">
        <v>796,772)#^</v>
      </c>
      <c r="AI223" s="1" t="str">
        <v>796,772</v>
      </c>
      <c r="AJ223" s="1" t="str">
        <v>796</v>
      </c>
      <c r="AK223" s="1" t="str">
        <v>772</v>
      </c>
      <c r="AL223" s="1">
        <v>614512</v>
      </c>
    </row>
    <row r="224" spans="4:38" x14ac:dyDescent="0.3">
      <c r="D224" s="2">
        <v>221</v>
      </c>
      <c r="E224" s="2">
        <f>SEARCH("mul",$C$4,E223+1)</f>
        <v>5581</v>
      </c>
      <c r="F224" s="2" t="str">
        <f>MID($C$4,E224,$F$1)</f>
        <v>mul(684,645){{%</v>
      </c>
      <c r="G224" s="3">
        <f>SEARCH("(",F224)</f>
        <v>4</v>
      </c>
      <c r="H224" s="3">
        <f>SEARCH(",",F224)</f>
        <v>8</v>
      </c>
      <c r="I224" s="3">
        <f>SEARCH(")",F224)</f>
        <v>12</v>
      </c>
      <c r="J224" s="2" t="str">
        <f>IF(OR(ISERROR(G224),ISERROR(H224),ISERROR(I224)),"CORRUPT!","")</f>
        <v/>
      </c>
      <c r="K224" s="2" t="str">
        <f>IF(J224&lt;&gt;"","",MID(F224, G224+1, H224-G224-1))</f>
        <v>684</v>
      </c>
      <c r="L224" s="2">
        <f>IF(J224&lt;&gt;"","",LEN(K224))</f>
        <v>3</v>
      </c>
      <c r="M224" s="2" t="str">
        <f>IF(J224&lt;&gt;"","",MID(F224, H224+1, I224-H224-1))</f>
        <v>645</v>
      </c>
      <c r="N224" s="2">
        <f>IF(J224&lt;&gt;"","",LEN(M224))</f>
        <v>3</v>
      </c>
      <c r="O224" s="2">
        <f>IF(J224&lt;&gt;"","",K224*M224)</f>
        <v>441180</v>
      </c>
      <c r="R224" s="1" t="str">
        <v>762,163)</v>
      </c>
      <c r="S224" s="1" t="str">
        <v>525,337</v>
      </c>
      <c r="T224" s="1" t="str">
        <v>525</v>
      </c>
      <c r="U224" s="1" t="str">
        <v>337</v>
      </c>
      <c r="V224" s="1">
        <v>176925</v>
      </c>
      <c r="AH224" s="1" t="str">
        <v>827,58)]{where()*#&gt;</v>
      </c>
      <c r="AI224" s="1" t="str">
        <v>827,58</v>
      </c>
      <c r="AJ224" s="1" t="str">
        <v>827</v>
      </c>
      <c r="AK224" s="1" t="str">
        <v>58</v>
      </c>
      <c r="AL224" s="1">
        <v>47966</v>
      </c>
    </row>
    <row r="225" spans="4:38" x14ac:dyDescent="0.3">
      <c r="D225" s="2">
        <v>222</v>
      </c>
      <c r="E225" s="2">
        <f>SEARCH("mul",$C$4,E224+1)</f>
        <v>5597</v>
      </c>
      <c r="F225" s="2" t="str">
        <f>MID($C$4,E225,$F$1)</f>
        <v>mul(115,930)mul</v>
      </c>
      <c r="G225" s="3">
        <f>SEARCH("(",F225)</f>
        <v>4</v>
      </c>
      <c r="H225" s="3">
        <f>SEARCH(",",F225)</f>
        <v>8</v>
      </c>
      <c r="I225" s="3">
        <f>SEARCH(")",F225)</f>
        <v>12</v>
      </c>
      <c r="J225" s="2" t="str">
        <f>IF(OR(ISERROR(G225),ISERROR(H225),ISERROR(I225)),"CORRUPT!","")</f>
        <v/>
      </c>
      <c r="K225" s="2" t="str">
        <f>IF(J225&lt;&gt;"","",MID(F225, G225+1, H225-G225-1))</f>
        <v>115</v>
      </c>
      <c r="L225" s="2">
        <f>IF(J225&lt;&gt;"","",LEN(K225))</f>
        <v>3</v>
      </c>
      <c r="M225" s="2" t="str">
        <f>IF(J225&lt;&gt;"","",MID(F225, H225+1, I225-H225-1))</f>
        <v>930</v>
      </c>
      <c r="N225" s="2">
        <f>IF(J225&lt;&gt;"","",LEN(M225))</f>
        <v>3</v>
      </c>
      <c r="O225" s="2">
        <f>IF(J225&lt;&gt;"","",K225*M225)</f>
        <v>106950</v>
      </c>
      <c r="R225" s="1" t="str">
        <v>202,193)+*[</v>
      </c>
      <c r="S225" s="1" t="str">
        <v>466,861</v>
      </c>
      <c r="T225" s="1" t="str">
        <v>466</v>
      </c>
      <c r="U225" s="1" t="str">
        <v>861</v>
      </c>
      <c r="V225" s="1">
        <v>401226</v>
      </c>
      <c r="AH225" s="1" t="str">
        <v>579,551)where()when()how()?~&amp;@-why()&gt;</v>
      </c>
      <c r="AI225" s="1" t="str">
        <v>579,551</v>
      </c>
      <c r="AJ225" s="1" t="str">
        <v>579</v>
      </c>
      <c r="AK225" s="1" t="str">
        <v>551</v>
      </c>
      <c r="AL225" s="1">
        <v>319029</v>
      </c>
    </row>
    <row r="226" spans="4:38" x14ac:dyDescent="0.3">
      <c r="D226" s="2">
        <v>223</v>
      </c>
      <c r="E226" s="2">
        <f>SEARCH("mul",$C$4,E225+1)</f>
        <v>5609</v>
      </c>
      <c r="F226" s="2" t="str">
        <f>MID($C$4,E226,$F$1)</f>
        <v>mul(552,181)mul</v>
      </c>
      <c r="G226" s="3">
        <f>SEARCH("(",F226)</f>
        <v>4</v>
      </c>
      <c r="H226" s="3">
        <f>SEARCH(",",F226)</f>
        <v>8</v>
      </c>
      <c r="I226" s="3">
        <f>SEARCH(")",F226)</f>
        <v>12</v>
      </c>
      <c r="J226" s="2" t="str">
        <f>IF(OR(ISERROR(G226),ISERROR(H226),ISERROR(I226)),"CORRUPT!","")</f>
        <v/>
      </c>
      <c r="K226" s="2" t="str">
        <f>IF(J226&lt;&gt;"","",MID(F226, G226+1, H226-G226-1))</f>
        <v>552</v>
      </c>
      <c r="L226" s="2">
        <f>IF(J226&lt;&gt;"","",LEN(K226))</f>
        <v>3</v>
      </c>
      <c r="M226" s="2" t="str">
        <f>IF(J226&lt;&gt;"","",MID(F226, H226+1, I226-H226-1))</f>
        <v>181</v>
      </c>
      <c r="N226" s="2">
        <f>IF(J226&lt;&gt;"","",LEN(M226))</f>
        <v>3</v>
      </c>
      <c r="O226" s="2">
        <f>IF(J226&lt;&gt;"","",K226*M226)</f>
        <v>99912</v>
      </c>
      <c r="R226" s="1" t="str">
        <v>525,337)+}-:](?^#</v>
      </c>
      <c r="S226" s="1" t="str">
        <v>860,319</v>
      </c>
      <c r="T226" s="1" t="str">
        <v>860</v>
      </c>
      <c r="U226" s="1" t="str">
        <v>319</v>
      </c>
      <c r="V226" s="1">
        <v>274340</v>
      </c>
      <c r="AH226" s="1" t="str">
        <v>359,283)[ }</v>
      </c>
      <c r="AI226" s="1" t="str">
        <v>359,283</v>
      </c>
      <c r="AJ226" s="1" t="str">
        <v>359</v>
      </c>
      <c r="AK226" s="1" t="str">
        <v>283</v>
      </c>
      <c r="AL226" s="1">
        <v>101597</v>
      </c>
    </row>
    <row r="227" spans="4:38" x14ac:dyDescent="0.3">
      <c r="D227" s="2">
        <v>224</v>
      </c>
      <c r="E227" s="2">
        <f>SEARCH("mul",$C$4,E226+1)</f>
        <v>5621</v>
      </c>
      <c r="F227" s="2" t="str">
        <f>MID($C$4,E227,$F$1)</f>
        <v>mul(762,163)mul</v>
      </c>
      <c r="G227" s="3">
        <f>SEARCH("(",F227)</f>
        <v>4</v>
      </c>
      <c r="H227" s="3">
        <f>SEARCH(",",F227)</f>
        <v>8</v>
      </c>
      <c r="I227" s="3">
        <f>SEARCH(")",F227)</f>
        <v>12</v>
      </c>
      <c r="J227" s="2" t="str">
        <f>IF(OR(ISERROR(G227),ISERROR(H227),ISERROR(I227)),"CORRUPT!","")</f>
        <v/>
      </c>
      <c r="K227" s="2" t="str">
        <f>IF(J227&lt;&gt;"","",MID(F227, G227+1, H227-G227-1))</f>
        <v>762</v>
      </c>
      <c r="L227" s="2">
        <f>IF(J227&lt;&gt;"","",LEN(K227))</f>
        <v>3</v>
      </c>
      <c r="M227" s="2" t="str">
        <f>IF(J227&lt;&gt;"","",MID(F227, H227+1, I227-H227-1))</f>
        <v>163</v>
      </c>
      <c r="N227" s="2">
        <f>IF(J227&lt;&gt;"","",LEN(M227))</f>
        <v>3</v>
      </c>
      <c r="O227" s="2">
        <f>IF(J227&lt;&gt;"","",K227*M227)</f>
        <v>124206</v>
      </c>
      <c r="R227" s="1" t="str">
        <v>466,861)/do()'(;</v>
      </c>
      <c r="S227" s="1" t="str">
        <v>48,137</v>
      </c>
      <c r="T227" s="1" t="str">
        <v>48</v>
      </c>
      <c r="U227" s="1" t="str">
        <v>137</v>
      </c>
      <c r="V227" s="1">
        <v>6576</v>
      </c>
      <c r="AH227" s="1" t="str">
        <v>238,664)!]~^^#(why()</v>
      </c>
      <c r="AI227" s="1" t="str">
        <v>238,664</v>
      </c>
      <c r="AJ227" s="1" t="str">
        <v>238</v>
      </c>
      <c r="AK227" s="1" t="str">
        <v>664</v>
      </c>
      <c r="AL227" s="1">
        <v>158032</v>
      </c>
    </row>
    <row r="228" spans="4:38" x14ac:dyDescent="0.3">
      <c r="D228" s="2">
        <v>225</v>
      </c>
      <c r="E228" s="2">
        <f>SEARCH("mul",$C$4,E227+1)</f>
        <v>5633</v>
      </c>
      <c r="F228" s="2" t="str">
        <f>MID($C$4,E228,$F$1)</f>
        <v>mul(202,193)+*[</v>
      </c>
      <c r="G228" s="3">
        <f>SEARCH("(",F228)</f>
        <v>4</v>
      </c>
      <c r="H228" s="3">
        <f>SEARCH(",",F228)</f>
        <v>8</v>
      </c>
      <c r="I228" s="3">
        <f>SEARCH(")",F228)</f>
        <v>12</v>
      </c>
      <c r="J228" s="2" t="str">
        <f>IF(OR(ISERROR(G228),ISERROR(H228),ISERROR(I228)),"CORRUPT!","")</f>
        <v/>
      </c>
      <c r="K228" s="2" t="str">
        <f>IF(J228&lt;&gt;"","",MID(F228, G228+1, H228-G228-1))</f>
        <v>202</v>
      </c>
      <c r="L228" s="2">
        <f>IF(J228&lt;&gt;"","",LEN(K228))</f>
        <v>3</v>
      </c>
      <c r="M228" s="2" t="str">
        <f>IF(J228&lt;&gt;"","",MID(F228, H228+1, I228-H228-1))</f>
        <v>193</v>
      </c>
      <c r="N228" s="2">
        <f>IF(J228&lt;&gt;"","",LEN(M228))</f>
        <v>3</v>
      </c>
      <c r="O228" s="2">
        <f>IF(J228&lt;&gt;"","",K228*M228)</f>
        <v>38986</v>
      </c>
      <c r="R228" s="1" t="str">
        <v>860,319);</v>
      </c>
      <c r="S228" s="1" t="str">
        <v>317,942</v>
      </c>
      <c r="T228" s="1" t="str">
        <v>317</v>
      </c>
      <c r="U228" s="1" t="str">
        <v>942</v>
      </c>
      <c r="V228" s="1">
        <v>298614</v>
      </c>
      <c r="AH228" s="1" t="str">
        <v>128,702)</v>
      </c>
      <c r="AI228" s="1" t="str">
        <v>128,702</v>
      </c>
      <c r="AJ228" s="1" t="str">
        <v>128</v>
      </c>
      <c r="AK228" s="1" t="str">
        <v>702</v>
      </c>
      <c r="AL228" s="1">
        <v>89856</v>
      </c>
    </row>
    <row r="229" spans="4:38" x14ac:dyDescent="0.3">
      <c r="D229" s="2">
        <v>226</v>
      </c>
      <c r="E229" s="2">
        <f>SEARCH("mul",$C$4,E228+1)</f>
        <v>5648</v>
      </c>
      <c r="F229" s="2" t="str">
        <f>MID($C$4,E229,$F$1)</f>
        <v>mul(525,337)+}-</v>
      </c>
      <c r="G229" s="3">
        <f>SEARCH("(",F229)</f>
        <v>4</v>
      </c>
      <c r="H229" s="3">
        <f>SEARCH(",",F229)</f>
        <v>8</v>
      </c>
      <c r="I229" s="3">
        <f>SEARCH(")",F229)</f>
        <v>12</v>
      </c>
      <c r="J229" s="2" t="str">
        <f>IF(OR(ISERROR(G229),ISERROR(H229),ISERROR(I229)),"CORRUPT!","")</f>
        <v/>
      </c>
      <c r="K229" s="2" t="str">
        <f>IF(J229&lt;&gt;"","",MID(F229, G229+1, H229-G229-1))</f>
        <v>525</v>
      </c>
      <c r="L229" s="2">
        <f>IF(J229&lt;&gt;"","",LEN(K229))</f>
        <v>3</v>
      </c>
      <c r="M229" s="2" t="str">
        <f>IF(J229&lt;&gt;"","",MID(F229, H229+1, I229-H229-1))</f>
        <v>337</v>
      </c>
      <c r="N229" s="2">
        <f>IF(J229&lt;&gt;"","",LEN(M229))</f>
        <v>3</v>
      </c>
      <c r="O229" s="2">
        <f>IF(J229&lt;&gt;"","",K229*M229)</f>
        <v>176925</v>
      </c>
      <c r="R229" s="1" t="str">
        <v>48,137){when() ~:&lt; &lt;</v>
      </c>
      <c r="S229" s="1" t="str">
        <v>66,243</v>
      </c>
      <c r="T229" s="1" t="str">
        <v>66</v>
      </c>
      <c r="U229" s="1" t="str">
        <v>243</v>
      </c>
      <c r="V229" s="1">
        <v>16038</v>
      </c>
      <c r="AH229" s="1" t="str">
        <v>750,811)what()',!where()who()$:&lt;</v>
      </c>
      <c r="AI229" s="1" t="str">
        <v>750,811</v>
      </c>
      <c r="AJ229" s="1" t="str">
        <v>750</v>
      </c>
      <c r="AK229" s="1" t="str">
        <v>811</v>
      </c>
      <c r="AL229" s="1">
        <v>608250</v>
      </c>
    </row>
    <row r="230" spans="4:38" x14ac:dyDescent="0.3">
      <c r="D230" s="2">
        <v>227</v>
      </c>
      <c r="E230" s="2">
        <f>SEARCH("mul",$C$4,E229+1)</f>
        <v>5669</v>
      </c>
      <c r="F230" s="2" t="str">
        <f>MID($C$4,E230,$F$1)</f>
        <v>mul(466,861)/do</v>
      </c>
      <c r="G230" s="3">
        <f>SEARCH("(",F230)</f>
        <v>4</v>
      </c>
      <c r="H230" s="3">
        <f>SEARCH(",",F230)</f>
        <v>8</v>
      </c>
      <c r="I230" s="3">
        <f>SEARCH(")",F230)</f>
        <v>12</v>
      </c>
      <c r="J230" s="2" t="str">
        <f>IF(OR(ISERROR(G230),ISERROR(H230),ISERROR(I230)),"CORRUPT!","")</f>
        <v/>
      </c>
      <c r="K230" s="2" t="str">
        <f>IF(J230&lt;&gt;"","",MID(F230, G230+1, H230-G230-1))</f>
        <v>466</v>
      </c>
      <c r="L230" s="2">
        <f>IF(J230&lt;&gt;"","",LEN(K230))</f>
        <v>3</v>
      </c>
      <c r="M230" s="2" t="str">
        <f>IF(J230&lt;&gt;"","",MID(F230, H230+1, I230-H230-1))</f>
        <v>861</v>
      </c>
      <c r="N230" s="2">
        <f>IF(J230&lt;&gt;"","",LEN(M230))</f>
        <v>3</v>
      </c>
      <c r="O230" s="2">
        <f>IF(J230&lt;&gt;"","",K230*M230)</f>
        <v>401226</v>
      </c>
      <c r="R230" s="1" t="str">
        <v>317,942)'~&amp;#how()^</v>
      </c>
      <c r="S230" s="1" t="str">
        <v>678,119</v>
      </c>
      <c r="T230" s="1" t="str">
        <v>678</v>
      </c>
      <c r="U230" s="1" t="str">
        <v>119</v>
      </c>
      <c r="V230" s="1">
        <v>80682</v>
      </c>
      <c r="AH230" s="1" t="str">
        <v>439,76)*,^mul~</v>
      </c>
      <c r="AI230" s="1" t="str">
        <v>439,76</v>
      </c>
      <c r="AJ230" s="1" t="str">
        <v>439</v>
      </c>
      <c r="AK230" s="1" t="str">
        <v>76</v>
      </c>
      <c r="AL230" s="1">
        <v>33364</v>
      </c>
    </row>
    <row r="231" spans="4:38" x14ac:dyDescent="0.3">
      <c r="D231" s="2">
        <v>228</v>
      </c>
      <c r="E231" s="2">
        <f>SEARCH("mul",$C$4,E230+1)</f>
        <v>5689</v>
      </c>
      <c r="F231" s="2" t="str">
        <f>MID($C$4,E231,$F$1)</f>
        <v>mul(860,319);mu</v>
      </c>
      <c r="G231" s="3">
        <f>SEARCH("(",F231)</f>
        <v>4</v>
      </c>
      <c r="H231" s="3">
        <f>SEARCH(",",F231)</f>
        <v>8</v>
      </c>
      <c r="I231" s="3">
        <f>SEARCH(")",F231)</f>
        <v>12</v>
      </c>
      <c r="J231" s="2" t="str">
        <f>IF(OR(ISERROR(G231),ISERROR(H231),ISERROR(I231)),"CORRUPT!","")</f>
        <v/>
      </c>
      <c r="K231" s="2" t="str">
        <f>IF(J231&lt;&gt;"","",MID(F231, G231+1, H231-G231-1))</f>
        <v>860</v>
      </c>
      <c r="L231" s="2">
        <f>IF(J231&lt;&gt;"","",LEN(K231))</f>
        <v>3</v>
      </c>
      <c r="M231" s="2" t="str">
        <f>IF(J231&lt;&gt;"","",MID(F231, H231+1, I231-H231-1))</f>
        <v>319</v>
      </c>
      <c r="N231" s="2">
        <f>IF(J231&lt;&gt;"","",LEN(M231))</f>
        <v>3</v>
      </c>
      <c r="O231" s="2">
        <f>IF(J231&lt;&gt;"","",K231*M231)</f>
        <v>274340</v>
      </c>
      <c r="R231" s="1" t="str">
        <v>66,243)/(from()</v>
      </c>
      <c r="S231" s="1" t="str">
        <v>3,497</v>
      </c>
      <c r="T231" s="1" t="str">
        <v>3</v>
      </c>
      <c r="U231" s="1" t="str">
        <v>497</v>
      </c>
      <c r="V231" s="1">
        <v>1491</v>
      </c>
      <c r="AH231" s="1" t="str">
        <v>69,32)!how()}**what()</v>
      </c>
      <c r="AI231" s="1" t="str">
        <v>69,32</v>
      </c>
      <c r="AJ231" s="1" t="str">
        <v>69</v>
      </c>
      <c r="AK231" s="1" t="str">
        <v>32</v>
      </c>
      <c r="AL231" s="1">
        <v>2208</v>
      </c>
    </row>
    <row r="232" spans="4:38" x14ac:dyDescent="0.3">
      <c r="D232" s="2">
        <v>229</v>
      </c>
      <c r="E232" s="2">
        <f>SEARCH("mul",$C$4,E231+1)</f>
        <v>5702</v>
      </c>
      <c r="F232" s="2" t="str">
        <f>MID($C$4,E232,$F$1)</f>
        <v>mul(48,137){whe</v>
      </c>
      <c r="G232" s="3">
        <f>SEARCH("(",F232)</f>
        <v>4</v>
      </c>
      <c r="H232" s="3">
        <f>SEARCH(",",F232)</f>
        <v>7</v>
      </c>
      <c r="I232" s="3">
        <f>SEARCH(")",F232)</f>
        <v>11</v>
      </c>
      <c r="J232" s="2" t="str">
        <f>IF(OR(ISERROR(G232),ISERROR(H232),ISERROR(I232)),"CORRUPT!","")</f>
        <v/>
      </c>
      <c r="K232" s="2" t="str">
        <f>IF(J232&lt;&gt;"","",MID(F232, G232+1, H232-G232-1))</f>
        <v>48</v>
      </c>
      <c r="L232" s="2">
        <f>IF(J232&lt;&gt;"","",LEN(K232))</f>
        <v>2</v>
      </c>
      <c r="M232" s="2" t="str">
        <f>IF(J232&lt;&gt;"","",MID(F232, H232+1, I232-H232-1))</f>
        <v>137</v>
      </c>
      <c r="N232" s="2">
        <f>IF(J232&lt;&gt;"","",LEN(M232))</f>
        <v>3</v>
      </c>
      <c r="O232" s="2">
        <f>IF(J232&lt;&gt;"","",K232*M232)</f>
        <v>6576</v>
      </c>
      <c r="R232" s="1" t="str">
        <v>678,119)when()!when()&gt;from()</v>
      </c>
      <c r="S232" s="1" t="str">
        <v>522,894</v>
      </c>
      <c r="T232" s="1" t="str">
        <v>522</v>
      </c>
      <c r="U232" s="1" t="str">
        <v>894</v>
      </c>
      <c r="V232" s="1">
        <v>466668</v>
      </c>
      <c r="AH232" s="1" t="str">
        <v>496,817)when()*how()^+~how()from()mul{]&amp;when()-:}why(540,134)&gt;</v>
      </c>
      <c r="AI232" s="1" t="str">
        <v>496,817</v>
      </c>
      <c r="AJ232" s="1" t="str">
        <v>496</v>
      </c>
      <c r="AK232" s="1" t="str">
        <v>817</v>
      </c>
      <c r="AL232" s="1">
        <v>405232</v>
      </c>
    </row>
    <row r="233" spans="4:38" x14ac:dyDescent="0.3">
      <c r="D233" s="2">
        <v>230</v>
      </c>
      <c r="E233" s="2">
        <f>SEARCH("mul",$C$4,E232+1)</f>
        <v>5726</v>
      </c>
      <c r="F233" s="2" t="str">
        <f>MID($C$4,E233,$F$1)</f>
        <v>mul(317,942)'~&amp;</v>
      </c>
      <c r="G233" s="3">
        <f>SEARCH("(",F233)</f>
        <v>4</v>
      </c>
      <c r="H233" s="3">
        <f>SEARCH(",",F233)</f>
        <v>8</v>
      </c>
      <c r="I233" s="3">
        <f>SEARCH(")",F233)</f>
        <v>12</v>
      </c>
      <c r="J233" s="2" t="str">
        <f>IF(OR(ISERROR(G233),ISERROR(H233),ISERROR(I233)),"CORRUPT!","")</f>
        <v/>
      </c>
      <c r="K233" s="2" t="str">
        <f>IF(J233&lt;&gt;"","",MID(F233, G233+1, H233-G233-1))</f>
        <v>317</v>
      </c>
      <c r="L233" s="2">
        <f>IF(J233&lt;&gt;"","",LEN(K233))</f>
        <v>3</v>
      </c>
      <c r="M233" s="2" t="str">
        <f>IF(J233&lt;&gt;"","",MID(F233, H233+1, I233-H233-1))</f>
        <v>942</v>
      </c>
      <c r="N233" s="2">
        <f>IF(J233&lt;&gt;"","",LEN(M233))</f>
        <v>3</v>
      </c>
      <c r="O233" s="2">
        <f>IF(J233&lt;&gt;"","",K233*M233)</f>
        <v>298614</v>
      </c>
      <c r="R233" s="1" t="str">
        <v>3,497)?when()&lt; #?^@do()&gt;;/?:</v>
      </c>
      <c r="S233" s="1" t="str">
        <v>419,20</v>
      </c>
      <c r="T233" s="1" t="str">
        <v>419</v>
      </c>
      <c r="U233" s="1" t="str">
        <v>20</v>
      </c>
      <c r="V233" s="1">
        <v>8380</v>
      </c>
      <c r="AH233" s="1" t="str">
        <v>472,276)&lt;'&amp;where()</v>
      </c>
      <c r="AI233" s="1" t="str">
        <v>472,276</v>
      </c>
      <c r="AJ233" s="1" t="str">
        <v>472</v>
      </c>
      <c r="AK233" s="1" t="str">
        <v>276</v>
      </c>
      <c r="AL233" s="1">
        <v>130272</v>
      </c>
    </row>
    <row r="234" spans="4:38" x14ac:dyDescent="0.3">
      <c r="D234" s="2">
        <v>231</v>
      </c>
      <c r="E234" s="2">
        <f>SEARCH("mul",$C$4,E233+1)</f>
        <v>5748</v>
      </c>
      <c r="F234" s="2" t="str">
        <f>MID($C$4,E234,$F$1)</f>
        <v>mul(66,243)/(fr</v>
      </c>
      <c r="G234" s="3">
        <f>SEARCH("(",F234)</f>
        <v>4</v>
      </c>
      <c r="H234" s="3">
        <f>SEARCH(",",F234)</f>
        <v>7</v>
      </c>
      <c r="I234" s="3">
        <f>SEARCH(")",F234)</f>
        <v>11</v>
      </c>
      <c r="J234" s="2" t="str">
        <f>IF(OR(ISERROR(G234),ISERROR(H234),ISERROR(I234)),"CORRUPT!","")</f>
        <v/>
      </c>
      <c r="K234" s="2" t="str">
        <f>IF(J234&lt;&gt;"","",MID(F234, G234+1, H234-G234-1))</f>
        <v>66</v>
      </c>
      <c r="L234" s="2">
        <f>IF(J234&lt;&gt;"","",LEN(K234))</f>
        <v>2</v>
      </c>
      <c r="M234" s="2" t="str">
        <f>IF(J234&lt;&gt;"","",MID(F234, H234+1, I234-H234-1))</f>
        <v>243</v>
      </c>
      <c r="N234" s="2">
        <f>IF(J234&lt;&gt;"","",LEN(M234))</f>
        <v>3</v>
      </c>
      <c r="O234" s="2">
        <f>IF(J234&lt;&gt;"","",K234*M234)</f>
        <v>16038</v>
      </c>
      <c r="R234" s="1" t="str">
        <v>522,894)+{+</v>
      </c>
      <c r="S234" s="1" t="str">
        <v>139,677</v>
      </c>
      <c r="T234" s="1" t="str">
        <v>139</v>
      </c>
      <c r="U234" s="1" t="str">
        <v>677</v>
      </c>
      <c r="V234" s="1">
        <v>94103</v>
      </c>
      <c r="AH234" s="1" t="str">
        <v>334,580)'/-?+;(-</v>
      </c>
      <c r="AI234" s="1" t="str">
        <v>334,580</v>
      </c>
      <c r="AJ234" s="1" t="str">
        <v>334</v>
      </c>
      <c r="AK234" s="1" t="str">
        <v>580</v>
      </c>
      <c r="AL234" s="1">
        <v>193720</v>
      </c>
    </row>
    <row r="235" spans="4:38" x14ac:dyDescent="0.3">
      <c r="D235" s="2">
        <v>232</v>
      </c>
      <c r="E235" s="2">
        <f>SEARCH("mul",$C$4,E234+1)</f>
        <v>5767</v>
      </c>
      <c r="F235" s="2" t="str">
        <f>MID($C$4,E235,$F$1)</f>
        <v>mul(678,119)whe</v>
      </c>
      <c r="G235" s="3">
        <f>SEARCH("(",F235)</f>
        <v>4</v>
      </c>
      <c r="H235" s="3">
        <f>SEARCH(",",F235)</f>
        <v>8</v>
      </c>
      <c r="I235" s="3">
        <f>SEARCH(")",F235)</f>
        <v>12</v>
      </c>
      <c r="J235" s="2" t="str">
        <f>IF(OR(ISERROR(G235),ISERROR(H235),ISERROR(I235)),"CORRUPT!","")</f>
        <v/>
      </c>
      <c r="K235" s="2" t="str">
        <f>IF(J235&lt;&gt;"","",MID(F235, G235+1, H235-G235-1))</f>
        <v>678</v>
      </c>
      <c r="L235" s="2">
        <f>IF(J235&lt;&gt;"","",LEN(K235))</f>
        <v>3</v>
      </c>
      <c r="M235" s="2" t="str">
        <f>IF(J235&lt;&gt;"","",MID(F235, H235+1, I235-H235-1))</f>
        <v>119</v>
      </c>
      <c r="N235" s="2">
        <f>IF(J235&lt;&gt;"","",LEN(M235))</f>
        <v>3</v>
      </c>
      <c r="O235" s="2">
        <f>IF(J235&lt;&gt;"","",K235*M235)</f>
        <v>80682</v>
      </c>
      <c r="R235" s="1" t="str">
        <v>419,20)</v>
      </c>
      <c r="S235" s="1" t="str">
        <v>563,549</v>
      </c>
      <c r="T235" s="1" t="str">
        <v>563</v>
      </c>
      <c r="U235" s="1" t="str">
        <v>549</v>
      </c>
      <c r="V235" s="1">
        <v>309087</v>
      </c>
      <c r="AH235" s="1" t="str">
        <v>78,731)select()</v>
      </c>
      <c r="AI235" s="1" t="str">
        <v>78,731</v>
      </c>
      <c r="AJ235" s="1" t="str">
        <v>78</v>
      </c>
      <c r="AK235" s="1" t="str">
        <v>731</v>
      </c>
      <c r="AL235" s="1">
        <v>57018</v>
      </c>
    </row>
    <row r="236" spans="4:38" x14ac:dyDescent="0.3">
      <c r="D236" s="2">
        <v>233</v>
      </c>
      <c r="E236" s="2">
        <f>SEARCH("mul",$C$4,E235+1)</f>
        <v>5799</v>
      </c>
      <c r="F236" s="2" t="str">
        <f>MID($C$4,E236,$F$1)</f>
        <v>mul(3,497)?when</v>
      </c>
      <c r="G236" s="3">
        <f>SEARCH("(",F236)</f>
        <v>4</v>
      </c>
      <c r="H236" s="3">
        <f>SEARCH(",",F236)</f>
        <v>6</v>
      </c>
      <c r="I236" s="3">
        <f>SEARCH(")",F236)</f>
        <v>10</v>
      </c>
      <c r="J236" s="2" t="str">
        <f>IF(OR(ISERROR(G236),ISERROR(H236),ISERROR(I236)),"CORRUPT!","")</f>
        <v/>
      </c>
      <c r="K236" s="2" t="str">
        <f>IF(J236&lt;&gt;"","",MID(F236, G236+1, H236-G236-1))</f>
        <v>3</v>
      </c>
      <c r="L236" s="2">
        <f>IF(J236&lt;&gt;"","",LEN(K236))</f>
        <v>1</v>
      </c>
      <c r="M236" s="2" t="str">
        <f>IF(J236&lt;&gt;"","",MID(F236, H236+1, I236-H236-1))</f>
        <v>497</v>
      </c>
      <c r="N236" s="2">
        <f>IF(J236&lt;&gt;"","",LEN(M236))</f>
        <v>3</v>
      </c>
      <c r="O236" s="2">
        <f>IF(J236&lt;&gt;"","",K236*M236)</f>
        <v>1491</v>
      </c>
      <c r="R236" s="1" t="str">
        <v>139,677)where(119,273)*what()[^?</v>
      </c>
      <c r="S236" s="1" t="str">
        <v>560,434</v>
      </c>
      <c r="T236" s="1" t="str">
        <v>560</v>
      </c>
      <c r="U236" s="1" t="str">
        <v>434</v>
      </c>
      <c r="V236" s="1">
        <v>243040</v>
      </c>
      <c r="AH236" s="1" t="str">
        <v>584,89)*/&gt;/;''~how()?&lt;</v>
      </c>
      <c r="AI236" s="1" t="str">
        <v>584,89</v>
      </c>
      <c r="AJ236" s="1" t="str">
        <v>584</v>
      </c>
      <c r="AK236" s="1" t="str">
        <v>89</v>
      </c>
      <c r="AL236" s="1">
        <v>51976</v>
      </c>
    </row>
    <row r="237" spans="4:38" x14ac:dyDescent="0.3">
      <c r="D237" s="2">
        <v>234</v>
      </c>
      <c r="E237" s="2">
        <f>SEARCH("mul",$C$4,E236+1)</f>
        <v>5831</v>
      </c>
      <c r="F237" s="2" t="str">
        <f>MID($C$4,E237,$F$1)</f>
        <v>mul(522,894)+{+</v>
      </c>
      <c r="G237" s="3">
        <f>SEARCH("(",F237)</f>
        <v>4</v>
      </c>
      <c r="H237" s="3">
        <f>SEARCH(",",F237)</f>
        <v>8</v>
      </c>
      <c r="I237" s="3">
        <f>SEARCH(")",F237)</f>
        <v>12</v>
      </c>
      <c r="J237" s="2" t="str">
        <f>IF(OR(ISERROR(G237),ISERROR(H237),ISERROR(I237)),"CORRUPT!","")</f>
        <v/>
      </c>
      <c r="K237" s="2" t="str">
        <f>IF(J237&lt;&gt;"","",MID(F237, G237+1, H237-G237-1))</f>
        <v>522</v>
      </c>
      <c r="L237" s="2">
        <f>IF(J237&lt;&gt;"","",LEN(K237))</f>
        <v>3</v>
      </c>
      <c r="M237" s="2" t="str">
        <f>IF(J237&lt;&gt;"","",MID(F237, H237+1, I237-H237-1))</f>
        <v>894</v>
      </c>
      <c r="N237" s="2">
        <f>IF(J237&lt;&gt;"","",LEN(M237))</f>
        <v>3</v>
      </c>
      <c r="O237" s="2">
        <f>IF(J237&lt;&gt;"","",K237*M237)</f>
        <v>466668</v>
      </c>
      <c r="R237" s="1" t="str">
        <v>563,549)how()&lt;@'%</v>
      </c>
      <c r="S237" s="1" t="str">
        <v>886,302</v>
      </c>
      <c r="T237" s="1" t="str">
        <v>886</v>
      </c>
      <c r="U237" s="1" t="str">
        <v>302</v>
      </c>
      <c r="V237" s="1">
        <v>267572</v>
      </c>
      <c r="AH237" s="1" t="str">
        <v>106,855)']</v>
      </c>
      <c r="AI237" s="1" t="str">
        <v>106,855</v>
      </c>
      <c r="AJ237" s="1" t="str">
        <v>106</v>
      </c>
      <c r="AK237" s="1" t="str">
        <v>855</v>
      </c>
      <c r="AL237" s="1">
        <v>90630</v>
      </c>
    </row>
    <row r="238" spans="4:38" x14ac:dyDescent="0.3">
      <c r="D238" s="2">
        <v>235</v>
      </c>
      <c r="E238" s="2">
        <f>SEARCH("mul",$C$4,E237+1)</f>
        <v>5846</v>
      </c>
      <c r="F238" s="2" t="str">
        <f>MID($C$4,E238,$F$1)</f>
        <v>mul(419,20)mul(</v>
      </c>
      <c r="G238" s="3">
        <f>SEARCH("(",F238)</f>
        <v>4</v>
      </c>
      <c r="H238" s="3">
        <f>SEARCH(",",F238)</f>
        <v>8</v>
      </c>
      <c r="I238" s="3">
        <f>SEARCH(")",F238)</f>
        <v>11</v>
      </c>
      <c r="J238" s="2" t="str">
        <f>IF(OR(ISERROR(G238),ISERROR(H238),ISERROR(I238)),"CORRUPT!","")</f>
        <v/>
      </c>
      <c r="K238" s="2" t="str">
        <f>IF(J238&lt;&gt;"","",MID(F238, G238+1, H238-G238-1))</f>
        <v>419</v>
      </c>
      <c r="L238" s="2">
        <f>IF(J238&lt;&gt;"","",LEN(K238))</f>
        <v>3</v>
      </c>
      <c r="M238" s="2" t="str">
        <f>IF(J238&lt;&gt;"","",MID(F238, H238+1, I238-H238-1))</f>
        <v>20</v>
      </c>
      <c r="N238" s="2">
        <f>IF(J238&lt;&gt;"","",LEN(M238))</f>
        <v>2</v>
      </c>
      <c r="O238" s="2">
        <f>IF(J238&lt;&gt;"","",K238*M238)</f>
        <v>8380</v>
      </c>
      <c r="R238" s="1" t="str">
        <v>560,434)what()where(),</v>
      </c>
      <c r="S238" s="1" t="str">
        <v>632,393</v>
      </c>
      <c r="T238" s="1" t="str">
        <v>632</v>
      </c>
      <c r="U238" s="1" t="str">
        <v>393</v>
      </c>
      <c r="V238" s="1">
        <v>248376</v>
      </c>
      <c r="AH238" s="1" t="str">
        <v>996,656){%:</v>
      </c>
      <c r="AI238" s="1" t="str">
        <v>996,656</v>
      </c>
      <c r="AJ238" s="1" t="str">
        <v>996</v>
      </c>
      <c r="AK238" s="1" t="str">
        <v>656</v>
      </c>
      <c r="AL238" s="1">
        <v>653376</v>
      </c>
    </row>
    <row r="239" spans="4:38" x14ac:dyDescent="0.3">
      <c r="D239" s="2">
        <v>236</v>
      </c>
      <c r="E239" s="2">
        <f>SEARCH("mul",$C$4,E238+1)</f>
        <v>5857</v>
      </c>
      <c r="F239" s="2" t="str">
        <f>MID($C$4,E239,$F$1)</f>
        <v>mul(139,677)whe</v>
      </c>
      <c r="G239" s="3">
        <f>SEARCH("(",F239)</f>
        <v>4</v>
      </c>
      <c r="H239" s="3">
        <f>SEARCH(",",F239)</f>
        <v>8</v>
      </c>
      <c r="I239" s="3">
        <f>SEARCH(")",F239)</f>
        <v>12</v>
      </c>
      <c r="J239" s="2" t="str">
        <f>IF(OR(ISERROR(G239),ISERROR(H239),ISERROR(I239)),"CORRUPT!","")</f>
        <v/>
      </c>
      <c r="K239" s="2" t="str">
        <f>IF(J239&lt;&gt;"","",MID(F239, G239+1, H239-G239-1))</f>
        <v>139</v>
      </c>
      <c r="L239" s="2">
        <f>IF(J239&lt;&gt;"","",LEN(K239))</f>
        <v>3</v>
      </c>
      <c r="M239" s="2" t="str">
        <f>IF(J239&lt;&gt;"","",MID(F239, H239+1, I239-H239-1))</f>
        <v>677</v>
      </c>
      <c r="N239" s="2">
        <f>IF(J239&lt;&gt;"","",LEN(M239))</f>
        <v>3</v>
      </c>
      <c r="O239" s="2">
        <f>IF(J239&lt;&gt;"","",K239*M239)</f>
        <v>94103</v>
      </c>
      <c r="R239" s="1" t="str">
        <v>886,302)</v>
      </c>
      <c r="S239" s="1" t="str">
        <v>769,651</v>
      </c>
      <c r="T239" s="1" t="str">
        <v>769</v>
      </c>
      <c r="U239" s="1" t="str">
        <v>651</v>
      </c>
      <c r="V239" s="1">
        <v>500619</v>
      </c>
      <c r="AH239" s="1" t="str">
        <v>873,777);how()(:#mulwhere(939,627)#^&gt;&lt;</v>
      </c>
      <c r="AI239" s="1" t="str">
        <v>873,777</v>
      </c>
      <c r="AJ239" s="1" t="str">
        <v>873</v>
      </c>
      <c r="AK239" s="1" t="str">
        <v>777</v>
      </c>
      <c r="AL239" s="1">
        <v>678321</v>
      </c>
    </row>
    <row r="240" spans="4:38" x14ac:dyDescent="0.3">
      <c r="D240" s="2">
        <v>237</v>
      </c>
      <c r="E240" s="2">
        <f>SEARCH("mul",$C$4,E239+1)</f>
        <v>5893</v>
      </c>
      <c r="F240" s="2" t="str">
        <f>MID($C$4,E240,$F$1)</f>
        <v>mul(563,549)how</v>
      </c>
      <c r="G240" s="3">
        <f>SEARCH("(",F240)</f>
        <v>4</v>
      </c>
      <c r="H240" s="3">
        <f>SEARCH(",",F240)</f>
        <v>8</v>
      </c>
      <c r="I240" s="3">
        <f>SEARCH(")",F240)</f>
        <v>12</v>
      </c>
      <c r="J240" s="2" t="str">
        <f>IF(OR(ISERROR(G240),ISERROR(H240),ISERROR(I240)),"CORRUPT!","")</f>
        <v/>
      </c>
      <c r="K240" s="2" t="str">
        <f>IF(J240&lt;&gt;"","",MID(F240, G240+1, H240-G240-1))</f>
        <v>563</v>
      </c>
      <c r="L240" s="2">
        <f>IF(J240&lt;&gt;"","",LEN(K240))</f>
        <v>3</v>
      </c>
      <c r="M240" s="2" t="str">
        <f>IF(J240&lt;&gt;"","",MID(F240, H240+1, I240-H240-1))</f>
        <v>549</v>
      </c>
      <c r="N240" s="2">
        <f>IF(J240&lt;&gt;"","",LEN(M240))</f>
        <v>3</v>
      </c>
      <c r="O240" s="2">
        <f>IF(J240&lt;&gt;"","",K240*M240)</f>
        <v>309087</v>
      </c>
      <c r="R240" s="1" t="str">
        <v>632,393)*what()!}{</v>
      </c>
      <c r="S240" s="1" t="str">
        <v>267,514</v>
      </c>
      <c r="T240" s="1" t="str">
        <v>267</v>
      </c>
      <c r="U240" s="1" t="str">
        <v>514</v>
      </c>
      <c r="V240" s="1">
        <v>137238</v>
      </c>
      <c r="AH240" s="1" t="str">
        <v>186,441)when()+?who()'$</v>
      </c>
      <c r="AI240" s="1" t="str">
        <v>186,441</v>
      </c>
      <c r="AJ240" s="1" t="str">
        <v>186</v>
      </c>
      <c r="AK240" s="1" t="str">
        <v>441</v>
      </c>
      <c r="AL240" s="1">
        <v>82026</v>
      </c>
    </row>
    <row r="241" spans="4:38" x14ac:dyDescent="0.3">
      <c r="D241" s="2">
        <v>238</v>
      </c>
      <c r="E241" s="2">
        <f>SEARCH("mul",$C$4,E240+1)</f>
        <v>5914</v>
      </c>
      <c r="F241" s="2" t="str">
        <f>MID($C$4,E241,$F$1)</f>
        <v>mul(560,434)wha</v>
      </c>
      <c r="G241" s="3">
        <f>SEARCH("(",F241)</f>
        <v>4</v>
      </c>
      <c r="H241" s="3">
        <f>SEARCH(",",F241)</f>
        <v>8</v>
      </c>
      <c r="I241" s="3">
        <f>SEARCH(")",F241)</f>
        <v>12</v>
      </c>
      <c r="J241" s="2" t="str">
        <f>IF(OR(ISERROR(G241),ISERROR(H241),ISERROR(I241)),"CORRUPT!","")</f>
        <v/>
      </c>
      <c r="K241" s="2" t="str">
        <f>IF(J241&lt;&gt;"","",MID(F241, G241+1, H241-G241-1))</f>
        <v>560</v>
      </c>
      <c r="L241" s="2">
        <f>IF(J241&lt;&gt;"","",LEN(K241))</f>
        <v>3</v>
      </c>
      <c r="M241" s="2" t="str">
        <f>IF(J241&lt;&gt;"","",MID(F241, H241+1, I241-H241-1))</f>
        <v>434</v>
      </c>
      <c r="N241" s="2">
        <f>IF(J241&lt;&gt;"","",LEN(M241))</f>
        <v>3</v>
      </c>
      <c r="O241" s="2">
        <f>IF(J241&lt;&gt;"","",K241*M241)</f>
        <v>243040</v>
      </c>
      <c r="R241" s="1" t="str">
        <v>769,651)'(</v>
      </c>
      <c r="S241" s="1" t="str">
        <v>64,902</v>
      </c>
      <c r="T241" s="1" t="str">
        <v>64</v>
      </c>
      <c r="U241" s="1" t="str">
        <v>902</v>
      </c>
      <c r="V241" s="1">
        <v>57728</v>
      </c>
      <c r="AH241" s="1" t="str">
        <v>297,888)how()%'?:-{&amp;</v>
      </c>
      <c r="AI241" s="1" t="str">
        <v>297,888</v>
      </c>
      <c r="AJ241" s="1" t="str">
        <v>297</v>
      </c>
      <c r="AK241" s="1" t="str">
        <v>888</v>
      </c>
      <c r="AL241" s="1">
        <v>263736</v>
      </c>
    </row>
    <row r="242" spans="4:38" x14ac:dyDescent="0.3">
      <c r="D242" s="2">
        <v>239</v>
      </c>
      <c r="E242" s="2">
        <f>SEARCH("mul",$C$4,E241+1)</f>
        <v>5940</v>
      </c>
      <c r="F242" s="2" t="str">
        <f>MID($C$4,E242,$F$1)</f>
        <v>mul(886,302)mul</v>
      </c>
      <c r="G242" s="3">
        <f>SEARCH("(",F242)</f>
        <v>4</v>
      </c>
      <c r="H242" s="3">
        <f>SEARCH(",",F242)</f>
        <v>8</v>
      </c>
      <c r="I242" s="3">
        <f>SEARCH(")",F242)</f>
        <v>12</v>
      </c>
      <c r="J242" s="2" t="str">
        <f>IF(OR(ISERROR(G242),ISERROR(H242),ISERROR(I242)),"CORRUPT!","")</f>
        <v/>
      </c>
      <c r="K242" s="2" t="str">
        <f>IF(J242&lt;&gt;"","",MID(F242, G242+1, H242-G242-1))</f>
        <v>886</v>
      </c>
      <c r="L242" s="2">
        <f>IF(J242&lt;&gt;"","",LEN(K242))</f>
        <v>3</v>
      </c>
      <c r="M242" s="2" t="str">
        <f>IF(J242&lt;&gt;"","",MID(F242, H242+1, I242-H242-1))</f>
        <v>302</v>
      </c>
      <c r="N242" s="2">
        <f>IF(J242&lt;&gt;"","",LEN(M242))</f>
        <v>3</v>
      </c>
      <c r="O242" s="2">
        <f>IF(J242&lt;&gt;"","",K242*M242)</f>
        <v>267572</v>
      </c>
      <c r="R242" s="1" t="str">
        <v>267,514)-[how()^:</v>
      </c>
      <c r="S242" s="1" t="str">
        <v>267,302</v>
      </c>
      <c r="T242" s="1" t="str">
        <v>267</v>
      </c>
      <c r="U242" s="1" t="str">
        <v>302</v>
      </c>
      <c r="V242" s="1">
        <v>80634</v>
      </c>
      <c r="AH242" s="1" t="str">
        <v>291,979)}&gt;# how(261,707)$],</v>
      </c>
      <c r="AI242" s="1" t="str">
        <v>291,979</v>
      </c>
      <c r="AJ242" s="1" t="str">
        <v>291</v>
      </c>
      <c r="AK242" s="1" t="str">
        <v>979</v>
      </c>
      <c r="AL242" s="1">
        <v>284889</v>
      </c>
    </row>
    <row r="243" spans="4:38" x14ac:dyDescent="0.3">
      <c r="D243" s="2">
        <v>240</v>
      </c>
      <c r="E243" s="2">
        <f>SEARCH("mul",$C$4,E242+1)</f>
        <v>5952</v>
      </c>
      <c r="F243" s="2" t="str">
        <f>MID($C$4,E243,$F$1)</f>
        <v>mul(632,393)*wh</v>
      </c>
      <c r="G243" s="3">
        <f>SEARCH("(",F243)</f>
        <v>4</v>
      </c>
      <c r="H243" s="3">
        <f>SEARCH(",",F243)</f>
        <v>8</v>
      </c>
      <c r="I243" s="3">
        <f>SEARCH(")",F243)</f>
        <v>12</v>
      </c>
      <c r="J243" s="2" t="str">
        <f>IF(OR(ISERROR(G243),ISERROR(H243),ISERROR(I243)),"CORRUPT!","")</f>
        <v/>
      </c>
      <c r="K243" s="2" t="str">
        <f>IF(J243&lt;&gt;"","",MID(F243, G243+1, H243-G243-1))</f>
        <v>632</v>
      </c>
      <c r="L243" s="2">
        <f>IF(J243&lt;&gt;"","",LEN(K243))</f>
        <v>3</v>
      </c>
      <c r="M243" s="2" t="str">
        <f>IF(J243&lt;&gt;"","",MID(F243, H243+1, I243-H243-1))</f>
        <v>393</v>
      </c>
      <c r="N243" s="2">
        <f>IF(J243&lt;&gt;"","",LEN(M243))</f>
        <v>3</v>
      </c>
      <c r="O243" s="2">
        <f>IF(J243&lt;&gt;"","",K243*M243)</f>
        <v>248376</v>
      </c>
      <c r="R243" s="1" t="str">
        <v>64,902)when()</v>
      </c>
      <c r="S243" s="1" t="str">
        <v>471,643</v>
      </c>
      <c r="T243" s="1" t="str">
        <v>471</v>
      </c>
      <c r="U243" s="1" t="str">
        <v>643</v>
      </c>
      <c r="V243" s="1">
        <v>302853</v>
      </c>
      <c r="AH243" s="1" t="str">
        <v xml:space="preserve">983,656)*&gt; </v>
      </c>
      <c r="AI243" s="1" t="str">
        <v>983,656</v>
      </c>
      <c r="AJ243" s="1" t="str">
        <v>983</v>
      </c>
      <c r="AK243" s="1" t="str">
        <v>656</v>
      </c>
      <c r="AL243" s="1">
        <v>644848</v>
      </c>
    </row>
    <row r="244" spans="4:38" x14ac:dyDescent="0.3">
      <c r="D244" s="2">
        <v>241</v>
      </c>
      <c r="E244" s="2">
        <f>SEARCH("mul",$C$4,E243+1)</f>
        <v>5974</v>
      </c>
      <c r="F244" s="2" t="str">
        <f>MID($C$4,E244,$F$1)</f>
        <v>mul(769,651)'(m</v>
      </c>
      <c r="G244" s="3">
        <f>SEARCH("(",F244)</f>
        <v>4</v>
      </c>
      <c r="H244" s="3">
        <f>SEARCH(",",F244)</f>
        <v>8</v>
      </c>
      <c r="I244" s="3">
        <f>SEARCH(")",F244)</f>
        <v>12</v>
      </c>
      <c r="J244" s="2" t="str">
        <f>IF(OR(ISERROR(G244),ISERROR(H244),ISERROR(I244)),"CORRUPT!","")</f>
        <v/>
      </c>
      <c r="K244" s="2" t="str">
        <f>IF(J244&lt;&gt;"","",MID(F244, G244+1, H244-G244-1))</f>
        <v>769</v>
      </c>
      <c r="L244" s="2">
        <f>IF(J244&lt;&gt;"","",LEN(K244))</f>
        <v>3</v>
      </c>
      <c r="M244" s="2" t="str">
        <f>IF(J244&lt;&gt;"","",MID(F244, H244+1, I244-H244-1))</f>
        <v>651</v>
      </c>
      <c r="N244" s="2">
        <f>IF(J244&lt;&gt;"","",LEN(M244))</f>
        <v>3</v>
      </c>
      <c r="O244" s="2">
        <f>IF(J244&lt;&gt;"","",K244*M244)</f>
        <v>500619</v>
      </c>
      <c r="R244" s="1" t="str">
        <v>356,352# ;'</v>
      </c>
      <c r="S244" s="1" t="str">
        <v>429,997</v>
      </c>
      <c r="T244" s="1" t="str">
        <v>429</v>
      </c>
      <c r="U244" s="1" t="str">
        <v>997</v>
      </c>
      <c r="V244" s="1">
        <v>427713</v>
      </c>
      <c r="AH244" s="1" t="str">
        <v>340,628)]*][[/</v>
      </c>
      <c r="AI244" s="1" t="str">
        <v>340,628</v>
      </c>
      <c r="AJ244" s="1" t="str">
        <v>340</v>
      </c>
      <c r="AK244" s="1" t="str">
        <v>628</v>
      </c>
      <c r="AL244" s="1">
        <v>213520</v>
      </c>
    </row>
    <row r="245" spans="4:38" x14ac:dyDescent="0.3">
      <c r="D245" s="2">
        <v>242</v>
      </c>
      <c r="E245" s="2">
        <f>SEARCH("mul",$C$4,E244+1)</f>
        <v>5988</v>
      </c>
      <c r="F245" s="2" t="str">
        <f>MID($C$4,E245,$F$1)</f>
        <v>mul(267,514)-[h</v>
      </c>
      <c r="G245" s="3">
        <f>SEARCH("(",F245)</f>
        <v>4</v>
      </c>
      <c r="H245" s="3">
        <f>SEARCH(",",F245)</f>
        <v>8</v>
      </c>
      <c r="I245" s="3">
        <f>SEARCH(")",F245)</f>
        <v>12</v>
      </c>
      <c r="J245" s="2" t="str">
        <f>IF(OR(ISERROR(G245),ISERROR(H245),ISERROR(I245)),"CORRUPT!","")</f>
        <v/>
      </c>
      <c r="K245" s="2" t="str">
        <f>IF(J245&lt;&gt;"","",MID(F245, G245+1, H245-G245-1))</f>
        <v>267</v>
      </c>
      <c r="L245" s="2">
        <f>IF(J245&lt;&gt;"","",LEN(K245))</f>
        <v>3</v>
      </c>
      <c r="M245" s="2" t="str">
        <f>IF(J245&lt;&gt;"","",MID(F245, H245+1, I245-H245-1))</f>
        <v>514</v>
      </c>
      <c r="N245" s="2">
        <f>IF(J245&lt;&gt;"","",LEN(M245))</f>
        <v>3</v>
      </c>
      <c r="O245" s="2">
        <f>IF(J245&lt;&gt;"","",K245*M245)</f>
        <v>137238</v>
      </c>
      <c r="R245" s="1" t="str">
        <v>267,302)#(mul@;~+</v>
      </c>
      <c r="S245" s="1" t="str">
        <v>401,220</v>
      </c>
      <c r="T245" s="1" t="str">
        <v>401</v>
      </c>
      <c r="U245" s="1" t="str">
        <v>220</v>
      </c>
      <c r="V245" s="1">
        <v>88220</v>
      </c>
      <c r="AH245" s="1" t="str">
        <v>193,206)(})~mul*/-#</v>
      </c>
      <c r="AI245" s="1" t="str">
        <v>193,206</v>
      </c>
      <c r="AJ245" s="1" t="str">
        <v>193</v>
      </c>
      <c r="AK245" s="1" t="str">
        <v>206</v>
      </c>
      <c r="AL245" s="1">
        <v>39758</v>
      </c>
    </row>
    <row r="246" spans="4:38" x14ac:dyDescent="0.3">
      <c r="D246" s="2">
        <v>243</v>
      </c>
      <c r="E246" s="2">
        <f>SEARCH("mul",$C$4,E245+1)</f>
        <v>6009</v>
      </c>
      <c r="F246" s="2" t="str">
        <f>MID($C$4,E246,$F$1)</f>
        <v>mul(64,902)when</v>
      </c>
      <c r="G246" s="3">
        <f>SEARCH("(",F246)</f>
        <v>4</v>
      </c>
      <c r="H246" s="3">
        <f>SEARCH(",",F246)</f>
        <v>7</v>
      </c>
      <c r="I246" s="3">
        <f>SEARCH(")",F246)</f>
        <v>11</v>
      </c>
      <c r="J246" s="2" t="str">
        <f>IF(OR(ISERROR(G246),ISERROR(H246),ISERROR(I246)),"CORRUPT!","")</f>
        <v/>
      </c>
      <c r="K246" s="2" t="str">
        <f>IF(J246&lt;&gt;"","",MID(F246, G246+1, H246-G246-1))</f>
        <v>64</v>
      </c>
      <c r="L246" s="2">
        <f>IF(J246&lt;&gt;"","",LEN(K246))</f>
        <v>2</v>
      </c>
      <c r="M246" s="2" t="str">
        <f>IF(J246&lt;&gt;"","",MID(F246, H246+1, I246-H246-1))</f>
        <v>902</v>
      </c>
      <c r="N246" s="2">
        <f>IF(J246&lt;&gt;"","",LEN(M246))</f>
        <v>3</v>
      </c>
      <c r="O246" s="2">
        <f>IF(J246&lt;&gt;"","",K246*M246)</f>
        <v>57728</v>
      </c>
      <c r="R246" s="1" t="str">
        <v>471,643)!from())!what()from()~</v>
      </c>
      <c r="S246" s="1" t="str">
        <v>294,298</v>
      </c>
      <c r="T246" s="1" t="str">
        <v>294</v>
      </c>
      <c r="U246" s="1" t="str">
        <v>298</v>
      </c>
      <c r="V246" s="1">
        <v>87612</v>
      </c>
      <c r="AH246" s="1" t="str">
        <v>976,903)%#why()$}-&amp;</v>
      </c>
      <c r="AI246" s="1" t="str">
        <v>976,903</v>
      </c>
      <c r="AJ246" s="1" t="str">
        <v>976</v>
      </c>
      <c r="AK246" s="1" t="str">
        <v>903</v>
      </c>
      <c r="AL246" s="1">
        <v>881328</v>
      </c>
    </row>
    <row r="247" spans="4:38" x14ac:dyDescent="0.3">
      <c r="D247" s="2">
        <v>244</v>
      </c>
      <c r="E247" s="2">
        <f>SEARCH("mul",$C$4,E246+1)</f>
        <v>6026</v>
      </c>
      <c r="F247" s="2" t="str">
        <f>MID($C$4,E247,$F$1)</f>
        <v>mul(356,352# ;'</v>
      </c>
      <c r="G247" s="3">
        <f>SEARCH("(",F247)</f>
        <v>4</v>
      </c>
      <c r="H247" s="3">
        <f>SEARCH(",",F247)</f>
        <v>8</v>
      </c>
      <c r="I247" s="3" t="e">
        <f>SEARCH(")",F247)</f>
        <v>#VALUE!</v>
      </c>
      <c r="J247" s="2" t="str">
        <f>IF(OR(ISERROR(G247),ISERROR(H247),ISERROR(I247)),"CORRUPT!","")</f>
        <v>CORRUPT!</v>
      </c>
      <c r="K247" s="2" t="str">
        <f>IF(J247&lt;&gt;"","",MID(F247, G247+1, H247-G247-1))</f>
        <v/>
      </c>
      <c r="L247" s="2" t="str">
        <f>IF(J247&lt;&gt;"","",LEN(K247))</f>
        <v/>
      </c>
      <c r="M247" s="2" t="str">
        <f>IF(J247&lt;&gt;"","",MID(F247, H247+1, I247-H247-1))</f>
        <v/>
      </c>
      <c r="N247" s="2" t="str">
        <f>IF(J247&lt;&gt;"","",LEN(M247))</f>
        <v/>
      </c>
      <c r="O247" s="2" t="str">
        <f>IF(J247&lt;&gt;"","",K247*M247)</f>
        <v/>
      </c>
      <c r="R247" s="1" t="str">
        <v>429,997)/-</v>
      </c>
      <c r="S247" s="1" t="str">
        <v>230,3</v>
      </c>
      <c r="T247" s="1" t="str">
        <v>230</v>
      </c>
      <c r="U247" s="1" t="str">
        <v>3</v>
      </c>
      <c r="V247" s="1">
        <v>690</v>
      </c>
      <c r="AH247" s="1" t="str">
        <v>734,303)what()[from()*-/why()from()] )</v>
      </c>
      <c r="AI247" s="1" t="str">
        <v>734,303</v>
      </c>
      <c r="AJ247" s="1" t="str">
        <v>734</v>
      </c>
      <c r="AK247" s="1" t="str">
        <v>303</v>
      </c>
      <c r="AL247" s="1">
        <v>222402</v>
      </c>
    </row>
    <row r="248" spans="4:38" x14ac:dyDescent="0.3">
      <c r="D248" s="2">
        <v>245</v>
      </c>
      <c r="E248" s="2">
        <f>SEARCH("mul",$C$4,E247+1)</f>
        <v>6041</v>
      </c>
      <c r="F248" s="2" t="str">
        <f>MID($C$4,E248,$F$1)</f>
        <v>mul(267,302)#(m</v>
      </c>
      <c r="G248" s="3">
        <f>SEARCH("(",F248)</f>
        <v>4</v>
      </c>
      <c r="H248" s="3">
        <f>SEARCH(",",F248)</f>
        <v>8</v>
      </c>
      <c r="I248" s="3">
        <f>SEARCH(")",F248)</f>
        <v>12</v>
      </c>
      <c r="J248" s="2" t="str">
        <f>IF(OR(ISERROR(G248),ISERROR(H248),ISERROR(I248)),"CORRUPT!","")</f>
        <v/>
      </c>
      <c r="K248" s="2" t="str">
        <f>IF(J248&lt;&gt;"","",MID(F248, G248+1, H248-G248-1))</f>
        <v>267</v>
      </c>
      <c r="L248" s="2">
        <f>IF(J248&lt;&gt;"","",LEN(K248))</f>
        <v>3</v>
      </c>
      <c r="M248" s="2" t="str">
        <f>IF(J248&lt;&gt;"","",MID(F248, H248+1, I248-H248-1))</f>
        <v>302</v>
      </c>
      <c r="N248" s="2">
        <f>IF(J248&lt;&gt;"","",LEN(M248))</f>
        <v>3</v>
      </c>
      <c r="O248" s="2">
        <f>IF(J248&lt;&gt;"","",K248*M248)</f>
        <v>80634</v>
      </c>
      <c r="R248" s="1" t="str">
        <v>401,220)&gt;{]what()what()@select()},</v>
      </c>
      <c r="S248" s="1" t="str">
        <v>888,907</v>
      </c>
      <c r="T248" s="1" t="str">
        <v>888</v>
      </c>
      <c r="U248" s="1" t="str">
        <v>907</v>
      </c>
      <c r="V248" s="1">
        <v>805416</v>
      </c>
      <c r="AH248" s="1" t="str">
        <v>663,118)$from()$;who()$?</v>
      </c>
      <c r="AI248" s="1" t="str">
        <v>663,118</v>
      </c>
      <c r="AJ248" s="1" t="str">
        <v>663</v>
      </c>
      <c r="AK248" s="1" t="str">
        <v>118</v>
      </c>
      <c r="AL248" s="1">
        <v>78234</v>
      </c>
    </row>
    <row r="249" spans="4:38" x14ac:dyDescent="0.3">
      <c r="D249" s="2">
        <v>246</v>
      </c>
      <c r="E249" s="2">
        <f>SEARCH("mul",$C$4,E248+1)</f>
        <v>6055</v>
      </c>
      <c r="F249" s="2" t="str">
        <f>MID($C$4,E249,$F$1)</f>
        <v>mul@;~+mul(471,</v>
      </c>
      <c r="G249" s="3">
        <f>SEARCH("(",F249)</f>
        <v>11</v>
      </c>
      <c r="H249" s="3">
        <f>SEARCH(",",F249)</f>
        <v>15</v>
      </c>
      <c r="I249" s="3" t="e">
        <f>SEARCH(")",F249)</f>
        <v>#VALUE!</v>
      </c>
      <c r="J249" s="2" t="str">
        <f>IF(OR(ISERROR(G249),ISERROR(H249),ISERROR(I249)),"CORRUPT!","")</f>
        <v>CORRUPT!</v>
      </c>
      <c r="K249" s="2" t="str">
        <f>IF(J249&lt;&gt;"","",MID(F249, G249+1, H249-G249-1))</f>
        <v/>
      </c>
      <c r="L249" s="2" t="str">
        <f>IF(J249&lt;&gt;"","",LEN(K249))</f>
        <v/>
      </c>
      <c r="M249" s="2" t="str">
        <f>IF(J249&lt;&gt;"","",MID(F249, H249+1, I249-H249-1))</f>
        <v/>
      </c>
      <c r="N249" s="2" t="str">
        <f>IF(J249&lt;&gt;"","",LEN(M249))</f>
        <v/>
      </c>
      <c r="O249" s="2" t="str">
        <f>IF(J249&lt;&gt;"","",K249*M249)</f>
        <v/>
      </c>
      <c r="R249" s="1" t="str">
        <v>294,298)how()</v>
      </c>
      <c r="S249" s="1" t="str">
        <v>17,816</v>
      </c>
      <c r="T249" s="1" t="str">
        <v>17</v>
      </c>
      <c r="U249" s="1" t="str">
        <v>816</v>
      </c>
      <c r="V249" s="1">
        <v>13872</v>
      </c>
      <c r="AH249" s="1" t="str">
        <v>39what(),#})$ select()how()~</v>
      </c>
      <c r="AI249" s="1" t="str">
        <v>39what(</v>
      </c>
      <c r="AJ249" s="1" t="e">
        <v>#N/A</v>
      </c>
      <c r="AK249" s="1" t="e">
        <v>#N/A</v>
      </c>
      <c r="AL249" s="1">
        <v>0</v>
      </c>
    </row>
    <row r="250" spans="4:38" x14ac:dyDescent="0.3">
      <c r="D250" s="2">
        <v>247</v>
      </c>
      <c r="E250" s="2">
        <f>SEARCH("mul",$C$4,E249+1)</f>
        <v>6062</v>
      </c>
      <c r="F250" s="2" t="str">
        <f>MID($C$4,E250,$F$1)</f>
        <v>mul(471,643)!fr</v>
      </c>
      <c r="G250" s="3">
        <f>SEARCH("(",F250)</f>
        <v>4</v>
      </c>
      <c r="H250" s="3">
        <f>SEARCH(",",F250)</f>
        <v>8</v>
      </c>
      <c r="I250" s="3">
        <f>SEARCH(")",F250)</f>
        <v>12</v>
      </c>
      <c r="J250" s="2" t="str">
        <f>IF(OR(ISERROR(G250),ISERROR(H250),ISERROR(I250)),"CORRUPT!","")</f>
        <v/>
      </c>
      <c r="K250" s="2" t="str">
        <f>IF(J250&lt;&gt;"","",MID(F250, G250+1, H250-G250-1))</f>
        <v>471</v>
      </c>
      <c r="L250" s="2">
        <f>IF(J250&lt;&gt;"","",LEN(K250))</f>
        <v>3</v>
      </c>
      <c r="M250" s="2" t="str">
        <f>IF(J250&lt;&gt;"","",MID(F250, H250+1, I250-H250-1))</f>
        <v>643</v>
      </c>
      <c r="N250" s="2">
        <f>IF(J250&lt;&gt;"","",LEN(M250))</f>
        <v>3</v>
      </c>
      <c r="O250" s="2">
        <f>IF(J250&lt;&gt;"","",K250*M250)</f>
        <v>302853</v>
      </c>
      <c r="R250" s="1" t="str">
        <v>230,3)/&amp;what()]&gt;]!how()/</v>
      </c>
      <c r="S250" s="1" t="str">
        <v>94,85</v>
      </c>
      <c r="T250" s="1" t="str">
        <v>94</v>
      </c>
      <c r="U250" s="1" t="str">
        <v>85</v>
      </c>
      <c r="V250" s="1">
        <v>7990</v>
      </c>
      <c r="AH250" s="1" t="str">
        <v>847,132){)what(134,971)what(336,162))&amp;/what()</v>
      </c>
      <c r="AI250" s="1" t="str">
        <v>847,132</v>
      </c>
      <c r="AJ250" s="1" t="str">
        <v>847</v>
      </c>
      <c r="AK250" s="1" t="str">
        <v>132</v>
      </c>
      <c r="AL250" s="1">
        <v>111804</v>
      </c>
    </row>
    <row r="251" spans="4:38" x14ac:dyDescent="0.3">
      <c r="D251" s="2">
        <v>248</v>
      </c>
      <c r="E251" s="2">
        <f>SEARCH("mul",$C$4,E250+1)</f>
        <v>6096</v>
      </c>
      <c r="F251" s="2" t="str">
        <f>MID($C$4,E251,$F$1)</f>
        <v>mul(429,997)/-m</v>
      </c>
      <c r="G251" s="3">
        <f>SEARCH("(",F251)</f>
        <v>4</v>
      </c>
      <c r="H251" s="3">
        <f>SEARCH(",",F251)</f>
        <v>8</v>
      </c>
      <c r="I251" s="3">
        <f>SEARCH(")",F251)</f>
        <v>12</v>
      </c>
      <c r="J251" s="2" t="str">
        <f>IF(OR(ISERROR(G251),ISERROR(H251),ISERROR(I251)),"CORRUPT!","")</f>
        <v/>
      </c>
      <c r="K251" s="2" t="str">
        <f>IF(J251&lt;&gt;"","",MID(F251, G251+1, H251-G251-1))</f>
        <v>429</v>
      </c>
      <c r="L251" s="2">
        <f>IF(J251&lt;&gt;"","",LEN(K251))</f>
        <v>3</v>
      </c>
      <c r="M251" s="2" t="str">
        <f>IF(J251&lt;&gt;"","",MID(F251, H251+1, I251-H251-1))</f>
        <v>997</v>
      </c>
      <c r="N251" s="2">
        <f>IF(J251&lt;&gt;"","",LEN(M251))</f>
        <v>3</v>
      </c>
      <c r="O251" s="2">
        <f>IF(J251&lt;&gt;"","",K251*M251)</f>
        <v>427713</v>
      </c>
      <c r="R251" s="1" t="str">
        <v>888,907)](#&gt;~}+#</v>
      </c>
      <c r="S251" s="1" t="str">
        <v>531,103</v>
      </c>
      <c r="T251" s="1" t="str">
        <v>531</v>
      </c>
      <c r="U251" s="1" t="str">
        <v>103</v>
      </c>
      <c r="V251" s="1">
        <v>54693</v>
      </c>
      <c r="AH251" s="1" t="str">
        <v>470,625)#</v>
      </c>
      <c r="AI251" s="1" t="str">
        <v>470,625</v>
      </c>
      <c r="AJ251" s="1" t="str">
        <v>470</v>
      </c>
      <c r="AK251" s="1" t="str">
        <v>625</v>
      </c>
      <c r="AL251" s="1">
        <v>293750</v>
      </c>
    </row>
    <row r="252" spans="4:38" x14ac:dyDescent="0.3">
      <c r="D252" s="2">
        <v>249</v>
      </c>
      <c r="E252" s="2">
        <f>SEARCH("mul",$C$4,E251+1)</f>
        <v>6110</v>
      </c>
      <c r="F252" s="2" t="str">
        <f>MID($C$4,E252,$F$1)</f>
        <v>mul(401,220)&gt;{]</v>
      </c>
      <c r="G252" s="3">
        <f>SEARCH("(",F252)</f>
        <v>4</v>
      </c>
      <c r="H252" s="3">
        <f>SEARCH(",",F252)</f>
        <v>8</v>
      </c>
      <c r="I252" s="3">
        <f>SEARCH(")",F252)</f>
        <v>12</v>
      </c>
      <c r="J252" s="2" t="str">
        <f>IF(OR(ISERROR(G252),ISERROR(H252),ISERROR(I252)),"CORRUPT!","")</f>
        <v/>
      </c>
      <c r="K252" s="2" t="str">
        <f>IF(J252&lt;&gt;"","",MID(F252, G252+1, H252-G252-1))</f>
        <v>401</v>
      </c>
      <c r="L252" s="2">
        <f>IF(J252&lt;&gt;"","",LEN(K252))</f>
        <v>3</v>
      </c>
      <c r="M252" s="2" t="str">
        <f>IF(J252&lt;&gt;"","",MID(F252, H252+1, I252-H252-1))</f>
        <v>220</v>
      </c>
      <c r="N252" s="2">
        <f>IF(J252&lt;&gt;"","",LEN(M252))</f>
        <v>3</v>
      </c>
      <c r="O252" s="2">
        <f>IF(J252&lt;&gt;"","",K252*M252)</f>
        <v>88220</v>
      </c>
      <c r="R252" s="1" t="str">
        <v>17,816)/[+when()&gt;from()]^:</v>
      </c>
      <c r="S252" s="1" t="str">
        <v>127,712</v>
      </c>
      <c r="T252" s="1" t="str">
        <v>127</v>
      </c>
      <c r="U252" s="1" t="str">
        <v>712</v>
      </c>
      <c r="V252" s="1">
        <v>90424</v>
      </c>
      <c r="AH252" s="1" t="str">
        <v>275,789)where()&lt;]</v>
      </c>
      <c r="AI252" s="1" t="str">
        <v>275,789</v>
      </c>
      <c r="AJ252" s="1" t="str">
        <v>275</v>
      </c>
      <c r="AK252" s="1" t="str">
        <v>789</v>
      </c>
      <c r="AL252" s="1">
        <v>216975</v>
      </c>
    </row>
    <row r="253" spans="4:38" x14ac:dyDescent="0.3">
      <c r="D253" s="2">
        <v>250</v>
      </c>
      <c r="E253" s="2">
        <f>SEARCH("mul",$C$4,E252+1)</f>
        <v>6148</v>
      </c>
      <c r="F253" s="2" t="str">
        <f>MID($C$4,E253,$F$1)</f>
        <v>mul(294,298)how</v>
      </c>
      <c r="G253" s="3">
        <f>SEARCH("(",F253)</f>
        <v>4</v>
      </c>
      <c r="H253" s="3">
        <f>SEARCH(",",F253)</f>
        <v>8</v>
      </c>
      <c r="I253" s="3">
        <f>SEARCH(")",F253)</f>
        <v>12</v>
      </c>
      <c r="J253" s="2" t="str">
        <f>IF(OR(ISERROR(G253),ISERROR(H253),ISERROR(I253)),"CORRUPT!","")</f>
        <v/>
      </c>
      <c r="K253" s="2" t="str">
        <f>IF(J253&lt;&gt;"","",MID(F253, G253+1, H253-G253-1))</f>
        <v>294</v>
      </c>
      <c r="L253" s="2">
        <f>IF(J253&lt;&gt;"","",LEN(K253))</f>
        <v>3</v>
      </c>
      <c r="M253" s="2" t="str">
        <f>IF(J253&lt;&gt;"","",MID(F253, H253+1, I253-H253-1))</f>
        <v>298</v>
      </c>
      <c r="N253" s="2">
        <f>IF(J253&lt;&gt;"","",LEN(M253))</f>
        <v>3</v>
      </c>
      <c r="O253" s="2">
        <f>IF(J253&lt;&gt;"","",K253*M253)</f>
        <v>87612</v>
      </c>
      <c r="R253" s="1" t="str">
        <v>94,85)#)'{</v>
      </c>
      <c r="S253" s="1" t="str">
        <v>595,154</v>
      </c>
      <c r="T253" s="1" t="str">
        <v>595</v>
      </c>
      <c r="U253" s="1" t="str">
        <v>154</v>
      </c>
      <c r="V253" s="1">
        <v>91630</v>
      </c>
      <c r="AH253" s="1" t="str">
        <v>15,846)when()from()</v>
      </c>
      <c r="AI253" s="1" t="str">
        <v>15,846</v>
      </c>
      <c r="AJ253" s="1" t="str">
        <v>15</v>
      </c>
      <c r="AK253" s="1" t="str">
        <v>846</v>
      </c>
      <c r="AL253" s="1">
        <v>12690</v>
      </c>
    </row>
    <row r="254" spans="4:38" x14ac:dyDescent="0.3">
      <c r="D254" s="2">
        <v>251</v>
      </c>
      <c r="E254" s="2">
        <f>SEARCH("mul",$C$4,E253+1)</f>
        <v>6165</v>
      </c>
      <c r="F254" s="2" t="str">
        <f>MID($C$4,E254,$F$1)</f>
        <v>mul(230,3)/&amp;wha</v>
      </c>
      <c r="G254" s="3">
        <f>SEARCH("(",F254)</f>
        <v>4</v>
      </c>
      <c r="H254" s="3">
        <f>SEARCH(",",F254)</f>
        <v>8</v>
      </c>
      <c r="I254" s="3">
        <f>SEARCH(")",F254)</f>
        <v>10</v>
      </c>
      <c r="J254" s="2" t="str">
        <f>IF(OR(ISERROR(G254),ISERROR(H254),ISERROR(I254)),"CORRUPT!","")</f>
        <v/>
      </c>
      <c r="K254" s="2" t="str">
        <f>IF(J254&lt;&gt;"","",MID(F254, G254+1, H254-G254-1))</f>
        <v>230</v>
      </c>
      <c r="L254" s="2">
        <f>IF(J254&lt;&gt;"","",LEN(K254))</f>
        <v>3</v>
      </c>
      <c r="M254" s="2" t="str">
        <f>IF(J254&lt;&gt;"","",MID(F254, H254+1, I254-H254-1))</f>
        <v>3</v>
      </c>
      <c r="N254" s="2">
        <f>IF(J254&lt;&gt;"","",LEN(M254))</f>
        <v>1</v>
      </c>
      <c r="O254" s="2">
        <f>IF(J254&lt;&gt;"","",K254*M254)</f>
        <v>690</v>
      </c>
      <c r="R254" s="1" t="str">
        <v>531,103){ {where()what()from()</v>
      </c>
      <c r="S254" s="1" t="str">
        <v>259,916</v>
      </c>
      <c r="T254" s="1" t="str">
        <v>259</v>
      </c>
      <c r="U254" s="1" t="str">
        <v>916</v>
      </c>
      <c r="V254" s="1">
        <v>237244</v>
      </c>
      <c r="AH254" s="1" t="str">
        <v>21,575)%from()^&lt;from()@-}from()*</v>
      </c>
      <c r="AI254" s="1" t="str">
        <v>21,575</v>
      </c>
      <c r="AJ254" s="1" t="str">
        <v>21</v>
      </c>
      <c r="AK254" s="1" t="str">
        <v>575</v>
      </c>
      <c r="AL254" s="1">
        <v>12075</v>
      </c>
    </row>
    <row r="255" spans="4:38" x14ac:dyDescent="0.3">
      <c r="D255" s="2">
        <v>252</v>
      </c>
      <c r="E255" s="2">
        <f>SEARCH("mul",$C$4,E254+1)</f>
        <v>6193</v>
      </c>
      <c r="F255" s="2" t="str">
        <f>MID($C$4,E255,$F$1)</f>
        <v>mul(888,907)](#</v>
      </c>
      <c r="G255" s="3">
        <f>SEARCH("(",F255)</f>
        <v>4</v>
      </c>
      <c r="H255" s="3">
        <f>SEARCH(",",F255)</f>
        <v>8</v>
      </c>
      <c r="I255" s="3">
        <f>SEARCH(")",F255)</f>
        <v>12</v>
      </c>
      <c r="J255" s="2" t="str">
        <f>IF(OR(ISERROR(G255),ISERROR(H255),ISERROR(I255)),"CORRUPT!","")</f>
        <v/>
      </c>
      <c r="K255" s="2" t="str">
        <f>IF(J255&lt;&gt;"","",MID(F255, G255+1, H255-G255-1))</f>
        <v>888</v>
      </c>
      <c r="L255" s="2">
        <f>IF(J255&lt;&gt;"","",LEN(K255))</f>
        <v>3</v>
      </c>
      <c r="M255" s="2" t="str">
        <f>IF(J255&lt;&gt;"","",MID(F255, H255+1, I255-H255-1))</f>
        <v>907</v>
      </c>
      <c r="N255" s="2">
        <f>IF(J255&lt;&gt;"","",LEN(M255))</f>
        <v>3</v>
      </c>
      <c r="O255" s="2">
        <f>IF(J255&lt;&gt;"","",K255*M255)</f>
        <v>805416</v>
      </c>
      <c r="R255" s="1" t="str">
        <v>127,712))what()&lt;</v>
      </c>
      <c r="S255" s="1" t="str">
        <v>703,780++;select(</v>
      </c>
      <c r="T255" s="1" t="str">
        <v>703</v>
      </c>
      <c r="U255" s="1" t="str">
        <v>780++;select(</v>
      </c>
      <c r="V255" s="1">
        <v>0</v>
      </c>
      <c r="AH255" s="1" t="str">
        <v>437,525))+!~{select()&gt;when()when() ~(+select()what()</v>
      </c>
      <c r="AI255" s="1" t="str">
        <v>437,525</v>
      </c>
      <c r="AJ255" s="1" t="str">
        <v>437</v>
      </c>
      <c r="AK255" s="1" t="str">
        <v>525</v>
      </c>
      <c r="AL255" s="1">
        <v>229425</v>
      </c>
    </row>
    <row r="256" spans="4:38" x14ac:dyDescent="0.3">
      <c r="D256" s="2">
        <v>253</v>
      </c>
      <c r="E256" s="2">
        <f>SEARCH("mul",$C$4,E255+1)</f>
        <v>6213</v>
      </c>
      <c r="F256" s="2" t="str">
        <f>MID($C$4,E256,$F$1)</f>
        <v>mul(17,816)/[+w</v>
      </c>
      <c r="G256" s="3">
        <f>SEARCH("(",F256)</f>
        <v>4</v>
      </c>
      <c r="H256" s="3">
        <f>SEARCH(",",F256)</f>
        <v>7</v>
      </c>
      <c r="I256" s="3">
        <f>SEARCH(")",F256)</f>
        <v>11</v>
      </c>
      <c r="J256" s="2" t="str">
        <f>IF(OR(ISERROR(G256),ISERROR(H256),ISERROR(I256)),"CORRUPT!","")</f>
        <v/>
      </c>
      <c r="K256" s="2" t="str">
        <f>IF(J256&lt;&gt;"","",MID(F256, G256+1, H256-G256-1))</f>
        <v>17</v>
      </c>
      <c r="L256" s="2">
        <f>IF(J256&lt;&gt;"","",LEN(K256))</f>
        <v>2</v>
      </c>
      <c r="M256" s="2" t="str">
        <f>IF(J256&lt;&gt;"","",MID(F256, H256+1, I256-H256-1))</f>
        <v>816</v>
      </c>
      <c r="N256" s="2">
        <f>IF(J256&lt;&gt;"","",LEN(M256))</f>
        <v>3</v>
      </c>
      <c r="O256" s="2">
        <f>IF(J256&lt;&gt;"","",K256*M256)</f>
        <v>13872</v>
      </c>
      <c r="R256" s="1" t="str">
        <v>595,154)~&gt;!%from()'/how()*when(940,337)</v>
      </c>
      <c r="S256" s="1" t="str">
        <v>221,199</v>
      </c>
      <c r="T256" s="1" t="str">
        <v>221</v>
      </c>
      <c r="U256" s="1" t="str">
        <v>199</v>
      </c>
      <c r="V256" s="1">
        <v>43979</v>
      </c>
      <c r="AH256" s="1" t="str">
        <v>554,360)from()]~</v>
      </c>
      <c r="AI256" s="1" t="str">
        <v>554,360</v>
      </c>
      <c r="AJ256" s="1" t="str">
        <v>554</v>
      </c>
      <c r="AK256" s="1" t="str">
        <v>360</v>
      </c>
      <c r="AL256" s="1">
        <v>199440</v>
      </c>
    </row>
    <row r="257" spans="4:38" x14ac:dyDescent="0.3">
      <c r="D257" s="2">
        <v>254</v>
      </c>
      <c r="E257" s="2">
        <f>SEARCH("mul",$C$4,E256+1)</f>
        <v>6243</v>
      </c>
      <c r="F257" s="2" t="str">
        <f>MID($C$4,E257,$F$1)</f>
        <v>mul(94,85)#)'{m</v>
      </c>
      <c r="G257" s="3">
        <f>SEARCH("(",F257)</f>
        <v>4</v>
      </c>
      <c r="H257" s="3">
        <f>SEARCH(",",F257)</f>
        <v>7</v>
      </c>
      <c r="I257" s="3">
        <f>SEARCH(")",F257)</f>
        <v>10</v>
      </c>
      <c r="J257" s="2" t="str">
        <f>IF(OR(ISERROR(G257),ISERROR(H257),ISERROR(I257)),"CORRUPT!","")</f>
        <v/>
      </c>
      <c r="K257" s="2" t="str">
        <f>IF(J257&lt;&gt;"","",MID(F257, G257+1, H257-G257-1))</f>
        <v>94</v>
      </c>
      <c r="L257" s="2">
        <f>IF(J257&lt;&gt;"","",LEN(K257))</f>
        <v>2</v>
      </c>
      <c r="M257" s="2" t="str">
        <f>IF(J257&lt;&gt;"","",MID(F257, H257+1, I257-H257-1))</f>
        <v>85</v>
      </c>
      <c r="N257" s="2">
        <f>IF(J257&lt;&gt;"","",LEN(M257))</f>
        <v>2</v>
      </c>
      <c r="O257" s="2">
        <f>IF(J257&lt;&gt;"","",K257*M257)</f>
        <v>7990</v>
      </c>
      <c r="R257" s="1" t="str">
        <v>259,916)+}!-}[</v>
      </c>
      <c r="S257" s="1" t="str">
        <v>303,268</v>
      </c>
      <c r="T257" s="1" t="str">
        <v>303</v>
      </c>
      <c r="U257" s="1" t="str">
        <v>268</v>
      </c>
      <c r="V257" s="1">
        <v>81204</v>
      </c>
      <c r="AH257" s="1" t="str">
        <v>785,136)}%#:?</v>
      </c>
      <c r="AI257" s="1" t="str">
        <v>785,136</v>
      </c>
      <c r="AJ257" s="1" t="str">
        <v>785</v>
      </c>
      <c r="AK257" s="1" t="str">
        <v>136</v>
      </c>
      <c r="AL257" s="1">
        <v>106760</v>
      </c>
    </row>
    <row r="258" spans="4:38" x14ac:dyDescent="0.3">
      <c r="D258" s="2">
        <v>255</v>
      </c>
      <c r="E258" s="2">
        <f>SEARCH("mul",$C$4,E257+1)</f>
        <v>6257</v>
      </c>
      <c r="F258" s="2" t="str">
        <f>MID($C$4,E258,$F$1)</f>
        <v>mul(531,103){ {</v>
      </c>
      <c r="G258" s="3">
        <f>SEARCH("(",F258)</f>
        <v>4</v>
      </c>
      <c r="H258" s="3">
        <f>SEARCH(",",F258)</f>
        <v>8</v>
      </c>
      <c r="I258" s="3">
        <f>SEARCH(")",F258)</f>
        <v>12</v>
      </c>
      <c r="J258" s="2" t="str">
        <f>IF(OR(ISERROR(G258),ISERROR(H258),ISERROR(I258)),"CORRUPT!","")</f>
        <v/>
      </c>
      <c r="K258" s="2" t="str">
        <f>IF(J258&lt;&gt;"","",MID(F258, G258+1, H258-G258-1))</f>
        <v>531</v>
      </c>
      <c r="L258" s="2">
        <f>IF(J258&lt;&gt;"","",LEN(K258))</f>
        <v>3</v>
      </c>
      <c r="M258" s="2" t="str">
        <f>IF(J258&lt;&gt;"","",MID(F258, H258+1, I258-H258-1))</f>
        <v>103</v>
      </c>
      <c r="N258" s="2">
        <f>IF(J258&lt;&gt;"","",LEN(M258))</f>
        <v>3</v>
      </c>
      <c r="O258" s="2">
        <f>IF(J258&lt;&gt;"","",K258*M258)</f>
        <v>54693</v>
      </c>
      <c r="R258" s="1" t="str">
        <v>703,780++;select()?why()[{</v>
      </c>
      <c r="S258" s="1" t="str">
        <v>542,561</v>
      </c>
      <c r="T258" s="1" t="str">
        <v>542</v>
      </c>
      <c r="U258" s="1" t="str">
        <v>561</v>
      </c>
      <c r="V258" s="1">
        <v>304062</v>
      </c>
      <c r="AH258" s="1" t="str">
        <v>117,254)who())?(;@</v>
      </c>
      <c r="AI258" s="1" t="str">
        <v>117,254</v>
      </c>
      <c r="AJ258" s="1" t="str">
        <v>117</v>
      </c>
      <c r="AK258" s="1" t="str">
        <v>254</v>
      </c>
      <c r="AL258" s="1">
        <v>29718</v>
      </c>
    </row>
    <row r="259" spans="4:38" x14ac:dyDescent="0.3">
      <c r="D259" s="2">
        <v>256</v>
      </c>
      <c r="E259" s="2">
        <f>SEARCH("mul",$C$4,E258+1)</f>
        <v>6291</v>
      </c>
      <c r="F259" s="2" t="str">
        <f>MID($C$4,E259,$F$1)</f>
        <v>mul(127,712))wh</v>
      </c>
      <c r="G259" s="3">
        <f>SEARCH("(",F259)</f>
        <v>4</v>
      </c>
      <c r="H259" s="3">
        <f>SEARCH(",",F259)</f>
        <v>8</v>
      </c>
      <c r="I259" s="3">
        <f>SEARCH(")",F259)</f>
        <v>12</v>
      </c>
      <c r="J259" s="2" t="str">
        <f>IF(OR(ISERROR(G259),ISERROR(H259),ISERROR(I259)),"CORRUPT!","")</f>
        <v/>
      </c>
      <c r="K259" s="2" t="str">
        <f>IF(J259&lt;&gt;"","",MID(F259, G259+1, H259-G259-1))</f>
        <v>127</v>
      </c>
      <c r="L259" s="2">
        <f>IF(J259&lt;&gt;"","",LEN(K259))</f>
        <v>3</v>
      </c>
      <c r="M259" s="2" t="str">
        <f>IF(J259&lt;&gt;"","",MID(F259, H259+1, I259-H259-1))</f>
        <v>712</v>
      </c>
      <c r="N259" s="2">
        <f>IF(J259&lt;&gt;"","",LEN(M259))</f>
        <v>3</v>
      </c>
      <c r="O259" s="2">
        <f>IF(J259&lt;&gt;"","",K259*M259)</f>
        <v>90424</v>
      </c>
      <c r="R259" s="1" t="str">
        <v>221,199)+</v>
      </c>
      <c r="S259" s="1" t="str">
        <v>68,800</v>
      </c>
      <c r="T259" s="1" t="str">
        <v>68</v>
      </c>
      <c r="U259" s="1" t="str">
        <v>800</v>
      </c>
      <c r="V259" s="1">
        <v>54400</v>
      </c>
      <c r="AH259" s="1" t="str">
        <v>209/%(&gt;,how()^</v>
      </c>
      <c r="AI259" s="1" t="str">
        <v>209/%(&gt;,how(</v>
      </c>
      <c r="AJ259" s="1" t="str">
        <v>209/%(&gt;</v>
      </c>
      <c r="AK259" s="1" t="str">
        <v>how(</v>
      </c>
      <c r="AL259" s="1">
        <v>0</v>
      </c>
    </row>
    <row r="260" spans="4:38" x14ac:dyDescent="0.3">
      <c r="D260" s="2">
        <v>257</v>
      </c>
      <c r="E260" s="2">
        <f>SEARCH("mul",$C$4,E259+1)</f>
        <v>6311</v>
      </c>
      <c r="F260" s="2" t="str">
        <f>MID($C$4,E260,$F$1)</f>
        <v>mul(595,154)~&gt;!</v>
      </c>
      <c r="G260" s="3">
        <f>SEARCH("(",F260)</f>
        <v>4</v>
      </c>
      <c r="H260" s="3">
        <f>SEARCH(",",F260)</f>
        <v>8</v>
      </c>
      <c r="I260" s="3">
        <f>SEARCH(")",F260)</f>
        <v>12</v>
      </c>
      <c r="J260" s="2" t="str">
        <f>IF(OR(ISERROR(G260),ISERROR(H260),ISERROR(I260)),"CORRUPT!","")</f>
        <v/>
      </c>
      <c r="K260" s="2" t="str">
        <f>IF(J260&lt;&gt;"","",MID(F260, G260+1, H260-G260-1))</f>
        <v>595</v>
      </c>
      <c r="L260" s="2">
        <f>IF(J260&lt;&gt;"","",LEN(K260))</f>
        <v>3</v>
      </c>
      <c r="M260" s="2" t="str">
        <f>IF(J260&lt;&gt;"","",MID(F260, H260+1, I260-H260-1))</f>
        <v>154</v>
      </c>
      <c r="N260" s="2">
        <f>IF(J260&lt;&gt;"","",LEN(M260))</f>
        <v>3</v>
      </c>
      <c r="O260" s="2">
        <f>IF(J260&lt;&gt;"","",K260*M260)</f>
        <v>91630</v>
      </c>
      <c r="R260" s="1" t="str">
        <v>303,268)$don't()'[what();^</v>
      </c>
      <c r="S260" s="1" t="str">
        <v>26,194</v>
      </c>
      <c r="T260" s="1" t="str">
        <v>26</v>
      </c>
      <c r="U260" s="1" t="str">
        <v>194</v>
      </c>
      <c r="V260" s="1">
        <v>5044</v>
      </c>
      <c r="AH260" s="1" t="str">
        <v>423,410)from()-</v>
      </c>
      <c r="AI260" s="1" t="str">
        <v>423,410</v>
      </c>
      <c r="AJ260" s="1" t="str">
        <v>423</v>
      </c>
      <c r="AK260" s="1" t="str">
        <v>410</v>
      </c>
      <c r="AL260" s="1">
        <v>173430</v>
      </c>
    </row>
    <row r="261" spans="4:38" x14ac:dyDescent="0.3">
      <c r="D261" s="2">
        <v>258</v>
      </c>
      <c r="E261" s="2">
        <f>SEARCH("mul",$C$4,E260+1)</f>
        <v>6354</v>
      </c>
      <c r="F261" s="2" t="str">
        <f>MID($C$4,E261,$F$1)</f>
        <v>mul(259,916)+}!</v>
      </c>
      <c r="G261" s="3">
        <f>SEARCH("(",F261)</f>
        <v>4</v>
      </c>
      <c r="H261" s="3">
        <f>SEARCH(",",F261)</f>
        <v>8</v>
      </c>
      <c r="I261" s="3">
        <f>SEARCH(")",F261)</f>
        <v>12</v>
      </c>
      <c r="J261" s="2" t="str">
        <f>IF(OR(ISERROR(G261),ISERROR(H261),ISERROR(I261)),"CORRUPT!","")</f>
        <v/>
      </c>
      <c r="K261" s="2" t="str">
        <f>IF(J261&lt;&gt;"","",MID(F261, G261+1, H261-G261-1))</f>
        <v>259</v>
      </c>
      <c r="L261" s="2">
        <f>IF(J261&lt;&gt;"","",LEN(K261))</f>
        <v>3</v>
      </c>
      <c r="M261" s="2" t="str">
        <f>IF(J261&lt;&gt;"","",MID(F261, H261+1, I261-H261-1))</f>
        <v>916</v>
      </c>
      <c r="N261" s="2">
        <f>IF(J261&lt;&gt;"","",LEN(M261))</f>
        <v>3</v>
      </c>
      <c r="O261" s="2">
        <f>IF(J261&lt;&gt;"","",K261*M261)</f>
        <v>237244</v>
      </c>
      <c r="R261" s="1" t="str">
        <v>542,561);who()&amp;,</v>
      </c>
      <c r="S261" s="1" t="str">
        <v>641,921</v>
      </c>
      <c r="T261" s="1" t="str">
        <v>641</v>
      </c>
      <c r="U261" s="1" t="str">
        <v>921</v>
      </c>
      <c r="V261" s="1">
        <v>590361</v>
      </c>
      <c r="AH261" s="1" t="str">
        <v>381,141)+~-)</v>
      </c>
      <c r="AI261" s="1" t="str">
        <v>381,141</v>
      </c>
      <c r="AJ261" s="1" t="str">
        <v>381</v>
      </c>
      <c r="AK261" s="1" t="str">
        <v>141</v>
      </c>
      <c r="AL261" s="1">
        <v>53721</v>
      </c>
    </row>
    <row r="262" spans="4:38" x14ac:dyDescent="0.3">
      <c r="D262" s="2">
        <v>259</v>
      </c>
      <c r="E262" s="2">
        <f>SEARCH("mul",$C$4,E261+1)</f>
        <v>6372</v>
      </c>
      <c r="F262" s="2" t="str">
        <f>MID($C$4,E262,$F$1)</f>
        <v>mul(703,780++;s</v>
      </c>
      <c r="G262" s="3">
        <f>SEARCH("(",F262)</f>
        <v>4</v>
      </c>
      <c r="H262" s="3">
        <f>SEARCH(",",F262)</f>
        <v>8</v>
      </c>
      <c r="I262" s="3" t="e">
        <f>SEARCH(")",F262)</f>
        <v>#VALUE!</v>
      </c>
      <c r="J262" s="2" t="str">
        <f>IF(OR(ISERROR(G262),ISERROR(H262),ISERROR(I262)),"CORRUPT!","")</f>
        <v>CORRUPT!</v>
      </c>
      <c r="K262" s="2" t="str">
        <f>IF(J262&lt;&gt;"","",MID(F262, G262+1, H262-G262-1))</f>
        <v/>
      </c>
      <c r="L262" s="2" t="str">
        <f>IF(J262&lt;&gt;"","",LEN(K262))</f>
        <v/>
      </c>
      <c r="M262" s="2" t="str">
        <f>IF(J262&lt;&gt;"","",MID(F262, H262+1, I262-H262-1))</f>
        <v/>
      </c>
      <c r="N262" s="2" t="str">
        <f>IF(J262&lt;&gt;"","",LEN(M262))</f>
        <v/>
      </c>
      <c r="O262" s="2" t="str">
        <f>IF(J262&lt;&gt;"","",K262*M262)</f>
        <v/>
      </c>
      <c r="R262" s="1" t="str">
        <v>68,800)[&lt;'{}why()?^from()</v>
      </c>
      <c r="S262" s="1" t="str">
        <v>539,571</v>
      </c>
      <c r="T262" s="1" t="str">
        <v>539</v>
      </c>
      <c r="U262" s="1" t="str">
        <v>571</v>
      </c>
      <c r="V262" s="1">
        <v>307769</v>
      </c>
      <c r="AH262" s="1" t="str">
        <v>674,158)^:what()&gt;(^)who()mul*^,</v>
      </c>
      <c r="AI262" s="1" t="str">
        <v>674,158</v>
      </c>
      <c r="AJ262" s="1" t="str">
        <v>674</v>
      </c>
      <c r="AK262" s="1" t="str">
        <v>158</v>
      </c>
      <c r="AL262" s="1">
        <v>106492</v>
      </c>
    </row>
    <row r="263" spans="4:38" x14ac:dyDescent="0.3">
      <c r="D263" s="2">
        <v>260</v>
      </c>
      <c r="E263" s="2">
        <f>SEARCH("mul",$C$4,E262+1)</f>
        <v>6402</v>
      </c>
      <c r="F263" s="2" t="str">
        <f>MID($C$4,E263,$F$1)</f>
        <v>mul(221,199)+mu</v>
      </c>
      <c r="G263" s="3">
        <f>SEARCH("(",F263)</f>
        <v>4</v>
      </c>
      <c r="H263" s="3">
        <f>SEARCH(",",F263)</f>
        <v>8</v>
      </c>
      <c r="I263" s="3">
        <f>SEARCH(")",F263)</f>
        <v>12</v>
      </c>
      <c r="J263" s="2" t="str">
        <f>IF(OR(ISERROR(G263),ISERROR(H263),ISERROR(I263)),"CORRUPT!","")</f>
        <v/>
      </c>
      <c r="K263" s="2" t="str">
        <f>IF(J263&lt;&gt;"","",MID(F263, G263+1, H263-G263-1))</f>
        <v>221</v>
      </c>
      <c r="L263" s="2">
        <f>IF(J263&lt;&gt;"","",LEN(K263))</f>
        <v>3</v>
      </c>
      <c r="M263" s="2" t="str">
        <f>IF(J263&lt;&gt;"","",MID(F263, H263+1, I263-H263-1))</f>
        <v>199</v>
      </c>
      <c r="N263" s="2">
        <f>IF(J263&lt;&gt;"","",LEN(M263))</f>
        <v>3</v>
      </c>
      <c r="O263" s="2">
        <f>IF(J263&lt;&gt;"","",K263*M263)</f>
        <v>43979</v>
      </c>
      <c r="R263" s="1" t="str">
        <v>26,194)?]who():;</v>
      </c>
      <c r="S263" s="1" t="str">
        <v>833,642</v>
      </c>
      <c r="T263" s="1" t="str">
        <v>833</v>
      </c>
      <c r="U263" s="1" t="str">
        <v>642</v>
      </c>
      <c r="V263" s="1">
        <v>534786</v>
      </c>
      <c r="AH263" s="1" t="str">
        <v>74,315)!-),</v>
      </c>
      <c r="AI263" s="1" t="str">
        <v>74,315</v>
      </c>
      <c r="AJ263" s="1" t="str">
        <v>74</v>
      </c>
      <c r="AK263" s="1" t="str">
        <v>315</v>
      </c>
      <c r="AL263" s="1">
        <v>23310</v>
      </c>
    </row>
    <row r="264" spans="4:38" x14ac:dyDescent="0.3">
      <c r="D264" s="2">
        <v>261</v>
      </c>
      <c r="E264" s="2">
        <f>SEARCH("mul",$C$4,E263+1)</f>
        <v>6415</v>
      </c>
      <c r="F264" s="2" t="str">
        <f>MID($C$4,E264,$F$1)</f>
        <v>mul(303,268)$do</v>
      </c>
      <c r="G264" s="3">
        <f>SEARCH("(",F264)</f>
        <v>4</v>
      </c>
      <c r="H264" s="3">
        <f>SEARCH(",",F264)</f>
        <v>8</v>
      </c>
      <c r="I264" s="3">
        <f>SEARCH(")",F264)</f>
        <v>12</v>
      </c>
      <c r="J264" s="2" t="str">
        <f>IF(OR(ISERROR(G264),ISERROR(H264),ISERROR(I264)),"CORRUPT!","")</f>
        <v/>
      </c>
      <c r="K264" s="2" t="str">
        <f>IF(J264&lt;&gt;"","",MID(F264, G264+1, H264-G264-1))</f>
        <v>303</v>
      </c>
      <c r="L264" s="2">
        <f>IF(J264&lt;&gt;"","",LEN(K264))</f>
        <v>3</v>
      </c>
      <c r="M264" s="2" t="str">
        <f>IF(J264&lt;&gt;"","",MID(F264, H264+1, I264-H264-1))</f>
        <v>268</v>
      </c>
      <c r="N264" s="2">
        <f>IF(J264&lt;&gt;"","",LEN(M264))</f>
        <v>3</v>
      </c>
      <c r="O264" s="2">
        <f>IF(J264&lt;&gt;"","",K264*M264)</f>
        <v>81204</v>
      </c>
      <c r="R264" s="1" t="str">
        <v>641,921)#&amp;where()</v>
      </c>
      <c r="S264" s="1" t="str">
        <v>209,564</v>
      </c>
      <c r="T264" s="1" t="str">
        <v>209</v>
      </c>
      <c r="U264" s="1" t="str">
        <v>564</v>
      </c>
      <c r="V264" s="1">
        <v>117876</v>
      </c>
      <c r="AH264" s="1" t="str">
        <v>341,503)where()/;*)why()),what()&amp;</v>
      </c>
      <c r="AI264" s="1" t="str">
        <v>341,503</v>
      </c>
      <c r="AJ264" s="1" t="str">
        <v>341</v>
      </c>
      <c r="AK264" s="1" t="str">
        <v>503</v>
      </c>
      <c r="AL264" s="1">
        <v>171523</v>
      </c>
    </row>
    <row r="265" spans="4:38" x14ac:dyDescent="0.3">
      <c r="D265" s="2">
        <v>262</v>
      </c>
      <c r="E265" s="2">
        <f>SEARCH("mul",$C$4,E264+1)</f>
        <v>6445</v>
      </c>
      <c r="F265" s="2" t="str">
        <f>MID($C$4,E265,$F$1)</f>
        <v>mul(542,561);wh</v>
      </c>
      <c r="G265" s="3">
        <f>SEARCH("(",F265)</f>
        <v>4</v>
      </c>
      <c r="H265" s="3">
        <f>SEARCH(",",F265)</f>
        <v>8</v>
      </c>
      <c r="I265" s="3">
        <f>SEARCH(")",F265)</f>
        <v>12</v>
      </c>
      <c r="J265" s="2" t="str">
        <f>IF(OR(ISERROR(G265),ISERROR(H265),ISERROR(I265)),"CORRUPT!","")</f>
        <v/>
      </c>
      <c r="K265" s="2" t="str">
        <f>IF(J265&lt;&gt;"","",MID(F265, G265+1, H265-G265-1))</f>
        <v>542</v>
      </c>
      <c r="L265" s="2">
        <f>IF(J265&lt;&gt;"","",LEN(K265))</f>
        <v>3</v>
      </c>
      <c r="M265" s="2" t="str">
        <f>IF(J265&lt;&gt;"","",MID(F265, H265+1, I265-H265-1))</f>
        <v>561</v>
      </c>
      <c r="N265" s="2">
        <f>IF(J265&lt;&gt;"","",LEN(M265))</f>
        <v>3</v>
      </c>
      <c r="O265" s="2">
        <f>IF(J265&lt;&gt;"","",K265*M265)</f>
        <v>304062</v>
      </c>
      <c r="R265" s="1" t="str">
        <v>539,571)select()]~%%]when())</v>
      </c>
      <c r="S265" s="1" t="str">
        <v>648,430/(#</v>
      </c>
      <c r="T265" s="1" t="str">
        <v>648</v>
      </c>
      <c r="U265" s="1" t="str">
        <v>430/(#</v>
      </c>
      <c r="V265" s="1">
        <v>0</v>
      </c>
      <c r="AH265" s="1" t="str">
        <v>624,435)</v>
      </c>
      <c r="AI265" s="1" t="str">
        <v>624,435</v>
      </c>
      <c r="AJ265" s="1" t="str">
        <v>624</v>
      </c>
      <c r="AK265" s="1" t="str">
        <v>435</v>
      </c>
      <c r="AL265" s="1">
        <v>271440</v>
      </c>
    </row>
    <row r="266" spans="4:38" x14ac:dyDescent="0.3">
      <c r="D266" s="2">
        <v>263</v>
      </c>
      <c r="E266" s="2">
        <f>SEARCH("mul",$C$4,E265+1)</f>
        <v>6465</v>
      </c>
      <c r="F266" s="2" t="str">
        <f>MID($C$4,E266,$F$1)</f>
        <v>mul(68,800)[&lt;'{</v>
      </c>
      <c r="G266" s="3">
        <f>SEARCH("(",F266)</f>
        <v>4</v>
      </c>
      <c r="H266" s="3">
        <f>SEARCH(",",F266)</f>
        <v>7</v>
      </c>
      <c r="I266" s="3">
        <f>SEARCH(")",F266)</f>
        <v>11</v>
      </c>
      <c r="J266" s="2" t="str">
        <f>IF(OR(ISERROR(G266),ISERROR(H266),ISERROR(I266)),"CORRUPT!","")</f>
        <v/>
      </c>
      <c r="K266" s="2" t="str">
        <f>IF(J266&lt;&gt;"","",MID(F266, G266+1, H266-G266-1))</f>
        <v>68</v>
      </c>
      <c r="L266" s="2">
        <f>IF(J266&lt;&gt;"","",LEN(K266))</f>
        <v>2</v>
      </c>
      <c r="M266" s="2" t="str">
        <f>IF(J266&lt;&gt;"","",MID(F266, H266+1, I266-H266-1))</f>
        <v>800</v>
      </c>
      <c r="N266" s="2">
        <f>IF(J266&lt;&gt;"","",LEN(M266))</f>
        <v>3</v>
      </c>
      <c r="O266" s="2">
        <f>IF(J266&lt;&gt;"","",K266*M266)</f>
        <v>54400</v>
      </c>
      <c r="R266" s="1" t="str">
        <v>833,642);</v>
      </c>
      <c r="S266" s="1" t="str">
        <v>818,526</v>
      </c>
      <c r="T266" s="1" t="str">
        <v>818</v>
      </c>
      <c r="U266" s="1" t="str">
        <v>526</v>
      </c>
      <c r="V266" s="1">
        <v>430268</v>
      </c>
      <c r="AH266" s="1" t="str">
        <v>880,482)}where():&lt;select():^&gt;]why()</v>
      </c>
      <c r="AI266" s="1" t="str">
        <v>880,482</v>
      </c>
      <c r="AJ266" s="1" t="str">
        <v>880</v>
      </c>
      <c r="AK266" s="1" t="str">
        <v>482</v>
      </c>
      <c r="AL266" s="1">
        <v>424160</v>
      </c>
    </row>
    <row r="267" spans="4:38" x14ac:dyDescent="0.3">
      <c r="D267" s="2">
        <v>264</v>
      </c>
      <c r="E267" s="2">
        <f>SEARCH("mul",$C$4,E266+1)</f>
        <v>6494</v>
      </c>
      <c r="F267" s="2" t="str">
        <f>MID($C$4,E267,$F$1)</f>
        <v>mul(26,194)?]wh</v>
      </c>
      <c r="G267" s="3">
        <f>SEARCH("(",F267)</f>
        <v>4</v>
      </c>
      <c r="H267" s="3">
        <f>SEARCH(",",F267)</f>
        <v>7</v>
      </c>
      <c r="I267" s="3">
        <f>SEARCH(")",F267)</f>
        <v>11</v>
      </c>
      <c r="J267" s="2" t="str">
        <f>IF(OR(ISERROR(G267),ISERROR(H267),ISERROR(I267)),"CORRUPT!","")</f>
        <v/>
      </c>
      <c r="K267" s="2" t="str">
        <f>IF(J267&lt;&gt;"","",MID(F267, G267+1, H267-G267-1))</f>
        <v>26</v>
      </c>
      <c r="L267" s="2">
        <f>IF(J267&lt;&gt;"","",LEN(K267))</f>
        <v>2</v>
      </c>
      <c r="M267" s="2" t="str">
        <f>IF(J267&lt;&gt;"","",MID(F267, H267+1, I267-H267-1))</f>
        <v>194</v>
      </c>
      <c r="N267" s="2">
        <f>IF(J267&lt;&gt;"","",LEN(M267))</f>
        <v>3</v>
      </c>
      <c r="O267" s="2">
        <f>IF(J267&lt;&gt;"","",K267*M267)</f>
        <v>5044</v>
      </c>
      <c r="R267" s="1" t="str">
        <v>209,564)}&lt;^)when()</v>
      </c>
      <c r="S267" s="1" t="str">
        <v>83,808</v>
      </c>
      <c r="T267" s="1" t="str">
        <v>83</v>
      </c>
      <c r="U267" s="1" t="str">
        <v>808</v>
      </c>
      <c r="V267" s="1">
        <v>67064</v>
      </c>
      <c r="AH267" s="1" t="str">
        <v>367,134)when()(when()</v>
      </c>
      <c r="AI267" s="1" t="str">
        <v>367,134</v>
      </c>
      <c r="AJ267" s="1" t="str">
        <v>367</v>
      </c>
      <c r="AK267" s="1" t="str">
        <v>134</v>
      </c>
      <c r="AL267" s="1">
        <v>49178</v>
      </c>
    </row>
    <row r="268" spans="4:38" x14ac:dyDescent="0.3">
      <c r="D268" s="2">
        <v>265</v>
      </c>
      <c r="E268" s="2">
        <f>SEARCH("mul",$C$4,E267+1)</f>
        <v>6514</v>
      </c>
      <c r="F268" s="2" t="str">
        <f>MID($C$4,E268,$F$1)</f>
        <v>mul(641,921)#&amp;w</v>
      </c>
      <c r="G268" s="3">
        <f>SEARCH("(",F268)</f>
        <v>4</v>
      </c>
      <c r="H268" s="3">
        <f>SEARCH(",",F268)</f>
        <v>8</v>
      </c>
      <c r="I268" s="3">
        <f>SEARCH(")",F268)</f>
        <v>12</v>
      </c>
      <c r="J268" s="2" t="str">
        <f>IF(OR(ISERROR(G268),ISERROR(H268),ISERROR(I268)),"CORRUPT!","")</f>
        <v/>
      </c>
      <c r="K268" s="2" t="str">
        <f>IF(J268&lt;&gt;"","",MID(F268, G268+1, H268-G268-1))</f>
        <v>641</v>
      </c>
      <c r="L268" s="2">
        <f>IF(J268&lt;&gt;"","",LEN(K268))</f>
        <v>3</v>
      </c>
      <c r="M268" s="2" t="str">
        <f>IF(J268&lt;&gt;"","",MID(F268, H268+1, I268-H268-1))</f>
        <v>921</v>
      </c>
      <c r="N268" s="2">
        <f>IF(J268&lt;&gt;"","",LEN(M268))</f>
        <v>3</v>
      </c>
      <c r="O268" s="2">
        <f>IF(J268&lt;&gt;"","",K268*M268)</f>
        <v>590361</v>
      </c>
      <c r="R268" s="1" t="str">
        <v>648,430/(#)/?(';where()what()</v>
      </c>
      <c r="S268" s="1" t="str">
        <v>894,523</v>
      </c>
      <c r="T268" s="1" t="str">
        <v>894</v>
      </c>
      <c r="U268" s="1" t="str">
        <v>523</v>
      </c>
      <c r="V268" s="1">
        <v>467562</v>
      </c>
      <c r="AH268" s="1" t="str">
        <v>166,251)@+,who(),</v>
      </c>
      <c r="AI268" s="1" t="str">
        <v>166,251</v>
      </c>
      <c r="AJ268" s="1" t="str">
        <v>166</v>
      </c>
      <c r="AK268" s="1" t="str">
        <v>251</v>
      </c>
      <c r="AL268" s="1">
        <v>41666</v>
      </c>
    </row>
    <row r="269" spans="4:38" x14ac:dyDescent="0.3">
      <c r="D269" s="2">
        <v>266</v>
      </c>
      <c r="E269" s="2">
        <f>SEARCH("mul",$C$4,E268+1)</f>
        <v>6535</v>
      </c>
      <c r="F269" s="2" t="str">
        <f>MID($C$4,E269,$F$1)</f>
        <v>mul(539,571)sel</v>
      </c>
      <c r="G269" s="3">
        <f>SEARCH("(",F269)</f>
        <v>4</v>
      </c>
      <c r="H269" s="3">
        <f>SEARCH(",",F269)</f>
        <v>8</v>
      </c>
      <c r="I269" s="3">
        <f>SEARCH(")",F269)</f>
        <v>12</v>
      </c>
      <c r="J269" s="2" t="str">
        <f>IF(OR(ISERROR(G269),ISERROR(H269),ISERROR(I269)),"CORRUPT!","")</f>
        <v/>
      </c>
      <c r="K269" s="2" t="str">
        <f>IF(J269&lt;&gt;"","",MID(F269, G269+1, H269-G269-1))</f>
        <v>539</v>
      </c>
      <c r="L269" s="2">
        <f>IF(J269&lt;&gt;"","",LEN(K269))</f>
        <v>3</v>
      </c>
      <c r="M269" s="2" t="str">
        <f>IF(J269&lt;&gt;"","",MID(F269, H269+1, I269-H269-1))</f>
        <v>571</v>
      </c>
      <c r="N269" s="2">
        <f>IF(J269&lt;&gt;"","",LEN(M269))</f>
        <v>3</v>
      </c>
      <c r="O269" s="2">
        <f>IF(J269&lt;&gt;"","",K269*M269)</f>
        <v>307769</v>
      </c>
      <c r="R269" s="1" t="str">
        <v>818,526) ]!what()do() &lt;;:mulfrom() @-&lt;select()what(557,962)$%</v>
      </c>
      <c r="S269" s="1" t="str">
        <v>764,627</v>
      </c>
      <c r="T269" s="1" t="str">
        <v>764</v>
      </c>
      <c r="U269" s="1" t="str">
        <v>627</v>
      </c>
      <c r="V269" s="1">
        <v>479028</v>
      </c>
      <c r="AH269" s="1" t="str">
        <v>610,271)+&gt;)(</v>
      </c>
      <c r="AI269" s="1" t="str">
        <v>610,271</v>
      </c>
      <c r="AJ269" s="1" t="str">
        <v>610</v>
      </c>
      <c r="AK269" s="1" t="str">
        <v>271</v>
      </c>
      <c r="AL269" s="1">
        <v>165310</v>
      </c>
    </row>
    <row r="270" spans="4:38" x14ac:dyDescent="0.3">
      <c r="D270" s="2">
        <v>267</v>
      </c>
      <c r="E270" s="2">
        <f>SEARCH("mul",$C$4,E269+1)</f>
        <v>6567</v>
      </c>
      <c r="F270" s="2" t="str">
        <f>MID($C$4,E270,$F$1)</f>
        <v>mul(833,642);mu</v>
      </c>
      <c r="G270" s="3">
        <f>SEARCH("(",F270)</f>
        <v>4</v>
      </c>
      <c r="H270" s="3">
        <f>SEARCH(",",F270)</f>
        <v>8</v>
      </c>
      <c r="I270" s="3">
        <f>SEARCH(")",F270)</f>
        <v>12</v>
      </c>
      <c r="J270" s="2" t="str">
        <f>IF(OR(ISERROR(G270),ISERROR(H270),ISERROR(I270)),"CORRUPT!","")</f>
        <v/>
      </c>
      <c r="K270" s="2" t="str">
        <f>IF(J270&lt;&gt;"","",MID(F270, G270+1, H270-G270-1))</f>
        <v>833</v>
      </c>
      <c r="L270" s="2">
        <f>IF(J270&lt;&gt;"","",LEN(K270))</f>
        <v>3</v>
      </c>
      <c r="M270" s="2" t="str">
        <f>IF(J270&lt;&gt;"","",MID(F270, H270+1, I270-H270-1))</f>
        <v>642</v>
      </c>
      <c r="N270" s="2">
        <f>IF(J270&lt;&gt;"","",LEN(M270))</f>
        <v>3</v>
      </c>
      <c r="O270" s="2">
        <f>IF(J270&lt;&gt;"","",K270*M270)</f>
        <v>534786</v>
      </c>
      <c r="R270" s="1" t="str">
        <v>83,808)from()% {)</v>
      </c>
      <c r="S270" s="1" t="str">
        <v>887,607</v>
      </c>
      <c r="T270" s="1" t="str">
        <v>887</v>
      </c>
      <c r="U270" s="1" t="str">
        <v>607</v>
      </c>
      <c r="V270" s="1">
        <v>538409</v>
      </c>
      <c r="AH270" s="1" t="str">
        <v>455,461)&gt;&amp;@-()from()+]</v>
      </c>
      <c r="AI270" s="1" t="str">
        <v>455,461</v>
      </c>
      <c r="AJ270" s="1" t="str">
        <v>455</v>
      </c>
      <c r="AK270" s="1" t="str">
        <v>461</v>
      </c>
      <c r="AL270" s="1">
        <v>209755</v>
      </c>
    </row>
    <row r="271" spans="4:38" x14ac:dyDescent="0.3">
      <c r="D271" s="2">
        <v>268</v>
      </c>
      <c r="E271" s="2">
        <f>SEARCH("mul",$C$4,E270+1)</f>
        <v>6580</v>
      </c>
      <c r="F271" s="2" t="str">
        <f>MID($C$4,E271,$F$1)</f>
        <v>mul(209,564)}&lt;^</v>
      </c>
      <c r="G271" s="3">
        <f>SEARCH("(",F271)</f>
        <v>4</v>
      </c>
      <c r="H271" s="3">
        <f>SEARCH(",",F271)</f>
        <v>8</v>
      </c>
      <c r="I271" s="3">
        <f>SEARCH(")",F271)</f>
        <v>12</v>
      </c>
      <c r="J271" s="2" t="str">
        <f>IF(OR(ISERROR(G271),ISERROR(H271),ISERROR(I271)),"CORRUPT!","")</f>
        <v/>
      </c>
      <c r="K271" s="2" t="str">
        <f>IF(J271&lt;&gt;"","",MID(F271, G271+1, H271-G271-1))</f>
        <v>209</v>
      </c>
      <c r="L271" s="2">
        <f>IF(J271&lt;&gt;"","",LEN(K271))</f>
        <v>3</v>
      </c>
      <c r="M271" s="2" t="str">
        <f>IF(J271&lt;&gt;"","",MID(F271, H271+1, I271-H271-1))</f>
        <v>564</v>
      </c>
      <c r="N271" s="2">
        <f>IF(J271&lt;&gt;"","",LEN(M271))</f>
        <v>3</v>
      </c>
      <c r="O271" s="2">
        <f>IF(J271&lt;&gt;"","",K271*M271)</f>
        <v>117876</v>
      </c>
      <c r="R271" s="1" t="str">
        <v>894,523){~?@'&amp;,how()&gt;</v>
      </c>
      <c r="S271" s="1" t="str">
        <v>184,287</v>
      </c>
      <c r="T271" s="1" t="str">
        <v>184</v>
      </c>
      <c r="U271" s="1" t="str">
        <v>287</v>
      </c>
      <c r="V271" s="1">
        <v>52808</v>
      </c>
      <c r="AH271" s="1" t="str">
        <v>232,944)&amp;,@when()@]</v>
      </c>
      <c r="AI271" s="1" t="str">
        <v>232,944</v>
      </c>
      <c r="AJ271" s="1" t="str">
        <v>232</v>
      </c>
      <c r="AK271" s="1" t="str">
        <v>944</v>
      </c>
      <c r="AL271" s="1">
        <v>219008</v>
      </c>
    </row>
    <row r="272" spans="4:38" x14ac:dyDescent="0.3">
      <c r="D272" s="2">
        <v>269</v>
      </c>
      <c r="E272" s="2">
        <f>SEARCH("mul",$C$4,E271+1)</f>
        <v>6602</v>
      </c>
      <c r="F272" s="2" t="str">
        <f>MID($C$4,E272,$F$1)</f>
        <v>mul(648,430/(#)</v>
      </c>
      <c r="G272" s="3">
        <f>SEARCH("(",F272)</f>
        <v>4</v>
      </c>
      <c r="H272" s="3">
        <f>SEARCH(",",F272)</f>
        <v>8</v>
      </c>
      <c r="I272" s="3">
        <f>SEARCH(")",F272)</f>
        <v>15</v>
      </c>
      <c r="J272" s="2" t="s">
        <v>2</v>
      </c>
      <c r="K272" s="2" t="str">
        <f>IF(J272&lt;&gt;"","",MID(F272, G272+1, H272-G272-1))</f>
        <v/>
      </c>
      <c r="L272" s="2" t="str">
        <f>IF(J272&lt;&gt;"","",LEN(K272))</f>
        <v/>
      </c>
      <c r="M272" s="2" t="str">
        <f>IF(J272&lt;&gt;"","",MID(F272, H272+1, I272-H272-1))</f>
        <v/>
      </c>
      <c r="N272" s="2" t="str">
        <f>IF(J272&lt;&gt;"","",LEN(M272))</f>
        <v/>
      </c>
      <c r="O272" s="2" t="str">
        <f>IF(J272&lt;&gt;"","",K272*M272)</f>
        <v/>
      </c>
      <c r="R272" s="1" t="str">
        <v>764,627)#/</v>
      </c>
      <c r="S272" s="1" t="str">
        <v>859,310</v>
      </c>
      <c r="T272" s="1" t="str">
        <v>859</v>
      </c>
      <c r="U272" s="1" t="str">
        <v>310</v>
      </c>
      <c r="V272" s="1">
        <v>266290</v>
      </c>
      <c r="AH272" s="1" t="str">
        <v>523,215)</v>
      </c>
      <c r="AI272" s="1" t="str">
        <v>523,215</v>
      </c>
      <c r="AJ272" s="1" t="str">
        <v>523</v>
      </c>
      <c r="AK272" s="1" t="str">
        <v>215</v>
      </c>
      <c r="AL272" s="1">
        <v>112445</v>
      </c>
    </row>
    <row r="273" spans="4:38" x14ac:dyDescent="0.3">
      <c r="D273" s="2">
        <v>270</v>
      </c>
      <c r="E273" s="2">
        <f>SEARCH("mul",$C$4,E272+1)</f>
        <v>6635</v>
      </c>
      <c r="F273" s="2" t="str">
        <f>MID($C$4,E273,$F$1)</f>
        <v>mul(818,526) ]!</v>
      </c>
      <c r="G273" s="3">
        <f>SEARCH("(",F273)</f>
        <v>4</v>
      </c>
      <c r="H273" s="3">
        <f>SEARCH(",",F273)</f>
        <v>8</v>
      </c>
      <c r="I273" s="3">
        <f>SEARCH(")",F273)</f>
        <v>12</v>
      </c>
      <c r="J273" s="2" t="str">
        <f>IF(OR(ISERROR(G273),ISERROR(H273),ISERROR(I273)),"CORRUPT!","")</f>
        <v/>
      </c>
      <c r="K273" s="2" t="str">
        <f>IF(J273&lt;&gt;"","",MID(F273, G273+1, H273-G273-1))</f>
        <v>818</v>
      </c>
      <c r="L273" s="2">
        <f>IF(J273&lt;&gt;"","",LEN(K273))</f>
        <v>3</v>
      </c>
      <c r="M273" s="2" t="str">
        <f>IF(J273&lt;&gt;"","",MID(F273, H273+1, I273-H273-1))</f>
        <v>526</v>
      </c>
      <c r="N273" s="2">
        <f>IF(J273&lt;&gt;"","",LEN(M273))</f>
        <v>3</v>
      </c>
      <c r="O273" s="2">
        <f>IF(J273&lt;&gt;"","",K273*M273)</f>
        <v>430268</v>
      </c>
      <c r="R273" s="1" t="str">
        <v>887,607), do()$(},#^}}from()how()</v>
      </c>
      <c r="S273" s="1" t="str">
        <v>692,592</v>
      </c>
      <c r="T273" s="1" t="str">
        <v>692</v>
      </c>
      <c r="U273" s="1" t="str">
        <v>592</v>
      </c>
      <c r="V273" s="1">
        <v>409664</v>
      </c>
      <c r="AH273" s="1" t="str">
        <v xml:space="preserve">876,836) </v>
      </c>
      <c r="AI273" s="1" t="str">
        <v>876,836</v>
      </c>
      <c r="AJ273" s="1" t="str">
        <v>876</v>
      </c>
      <c r="AK273" s="1" t="str">
        <v>836</v>
      </c>
      <c r="AL273" s="1">
        <v>732336</v>
      </c>
    </row>
    <row r="274" spans="4:38" x14ac:dyDescent="0.3">
      <c r="D274" s="2">
        <v>271</v>
      </c>
      <c r="E274" s="2">
        <f>SEARCH("mul",$C$4,E273+1)</f>
        <v>6664</v>
      </c>
      <c r="F274" s="2" t="str">
        <f>MID($C$4,E274,$F$1)</f>
        <v>mulfrom() @-&lt;se</v>
      </c>
      <c r="G274" s="3">
        <f>SEARCH("(",F274)</f>
        <v>8</v>
      </c>
      <c r="H274" s="3" t="e">
        <f>SEARCH(",",F274)</f>
        <v>#VALUE!</v>
      </c>
      <c r="I274" s="3">
        <f>SEARCH(")",F274)</f>
        <v>9</v>
      </c>
      <c r="J274" s="2" t="str">
        <f>IF(OR(ISERROR(G274),ISERROR(H274),ISERROR(I274)),"CORRUPT!","")</f>
        <v>CORRUPT!</v>
      </c>
      <c r="K274" s="2" t="str">
        <f>IF(J274&lt;&gt;"","",MID(F274, G274+1, H274-G274-1))</f>
        <v/>
      </c>
      <c r="L274" s="2" t="str">
        <f>IF(J274&lt;&gt;"","",LEN(K274))</f>
        <v/>
      </c>
      <c r="M274" s="2" t="str">
        <f>IF(J274&lt;&gt;"","",MID(F274, H274+1, I274-H274-1))</f>
        <v/>
      </c>
      <c r="N274" s="2" t="str">
        <f>IF(J274&lt;&gt;"","",LEN(M274))</f>
        <v/>
      </c>
      <c r="O274" s="2" t="str">
        <f>IF(J274&lt;&gt;"","",K274*M274)</f>
        <v/>
      </c>
      <c r="R274" s="1" t="str">
        <v>184,287)where()$^</v>
      </c>
      <c r="S274" s="1" t="str">
        <v>223,912</v>
      </c>
      <c r="T274" s="1" t="str">
        <v>223</v>
      </c>
      <c r="U274" s="1" t="str">
        <v>912</v>
      </c>
      <c r="V274" s="1">
        <v>203376</v>
      </c>
      <c r="AH274" s="1" t="str">
        <v>335,254)&lt;#-{from()^</v>
      </c>
      <c r="AI274" s="1" t="str">
        <v>335,254</v>
      </c>
      <c r="AJ274" s="1" t="str">
        <v>335</v>
      </c>
      <c r="AK274" s="1" t="str">
        <v>254</v>
      </c>
      <c r="AL274" s="1">
        <v>85090</v>
      </c>
    </row>
    <row r="275" spans="4:38" x14ac:dyDescent="0.3">
      <c r="D275" s="2">
        <v>272</v>
      </c>
      <c r="E275" s="2">
        <f>SEARCH("mul",$C$4,E274+1)</f>
        <v>6700</v>
      </c>
      <c r="F275" s="2" t="str">
        <f>MID($C$4,E275,$F$1)</f>
        <v>mul(83,808)from</v>
      </c>
      <c r="G275" s="3">
        <f>SEARCH("(",F275)</f>
        <v>4</v>
      </c>
      <c r="H275" s="3">
        <f>SEARCH(",",F275)</f>
        <v>7</v>
      </c>
      <c r="I275" s="3">
        <f>SEARCH(")",F275)</f>
        <v>11</v>
      </c>
      <c r="J275" s="2" t="str">
        <f>IF(OR(ISERROR(G275),ISERROR(H275),ISERROR(I275)),"CORRUPT!","")</f>
        <v/>
      </c>
      <c r="K275" s="2" t="str">
        <f>IF(J275&lt;&gt;"","",MID(F275, G275+1, H275-G275-1))</f>
        <v>83</v>
      </c>
      <c r="L275" s="2">
        <f>IF(J275&lt;&gt;"","",LEN(K275))</f>
        <v>2</v>
      </c>
      <c r="M275" s="2" t="str">
        <f>IF(J275&lt;&gt;"","",MID(F275, H275+1, I275-H275-1))</f>
        <v>808</v>
      </c>
      <c r="N275" s="2">
        <f>IF(J275&lt;&gt;"","",LEN(M275))</f>
        <v>3</v>
      </c>
      <c r="O275" s="2">
        <f>IF(J275&lt;&gt;"","",K275*M275)</f>
        <v>67064</v>
      </c>
      <c r="R275" s="1" t="str">
        <v>859,310){who()how()</v>
      </c>
      <c r="S275" s="1" t="str">
        <v>736,965</v>
      </c>
      <c r="T275" s="1" t="str">
        <v>736</v>
      </c>
      <c r="U275" s="1" t="str">
        <v>965</v>
      </c>
      <c r="V275" s="1">
        <v>710240</v>
      </c>
      <c r="AH275" s="1" t="str">
        <v>153,522)what(52,828)who()where()from()from()@&amp;&gt;$mul,!&amp;&lt;why(768,688)what(),);'</v>
      </c>
      <c r="AI275" s="1" t="str">
        <v>153,522</v>
      </c>
      <c r="AJ275" s="1" t="str">
        <v>153</v>
      </c>
      <c r="AK275" s="1" t="str">
        <v>522</v>
      </c>
      <c r="AL275" s="1">
        <v>79866</v>
      </c>
    </row>
    <row r="276" spans="4:38" x14ac:dyDescent="0.3">
      <c r="D276" s="2">
        <v>273</v>
      </c>
      <c r="E276" s="2">
        <f>SEARCH("mul",$C$4,E275+1)</f>
        <v>6721</v>
      </c>
      <c r="F276" s="2" t="str">
        <f>MID($C$4,E276,$F$1)</f>
        <v>mul(894,523){~?</v>
      </c>
      <c r="G276" s="3">
        <f>SEARCH("(",F276)</f>
        <v>4</v>
      </c>
      <c r="H276" s="3">
        <f>SEARCH(",",F276)</f>
        <v>8</v>
      </c>
      <c r="I276" s="3">
        <f>SEARCH(")",F276)</f>
        <v>12</v>
      </c>
      <c r="J276" s="2" t="str">
        <f>IF(OR(ISERROR(G276),ISERROR(H276),ISERROR(I276)),"CORRUPT!","")</f>
        <v/>
      </c>
      <c r="K276" s="2" t="str">
        <f>IF(J276&lt;&gt;"","",MID(F276, G276+1, H276-G276-1))</f>
        <v>894</v>
      </c>
      <c r="L276" s="2">
        <f>IF(J276&lt;&gt;"","",LEN(K276))</f>
        <v>3</v>
      </c>
      <c r="M276" s="2" t="str">
        <f>IF(J276&lt;&gt;"","",MID(F276, H276+1, I276-H276-1))</f>
        <v>523</v>
      </c>
      <c r="N276" s="2">
        <f>IF(J276&lt;&gt;"","",LEN(M276))</f>
        <v>3</v>
      </c>
      <c r="O276" s="2">
        <f>IF(J276&lt;&gt;"","",K276*M276)</f>
        <v>467562</v>
      </c>
      <c r="R276" s="1" t="str">
        <v>692,592){&gt;?&amp;</v>
      </c>
      <c r="S276" s="1" t="str">
        <v>600,145</v>
      </c>
      <c r="T276" s="1" t="str">
        <v>600</v>
      </c>
      <c r="U276" s="1" t="str">
        <v>145</v>
      </c>
      <c r="V276" s="1">
        <v>87000</v>
      </c>
      <c r="AH276" s="1" t="str">
        <v>851,963)]&amp;;(</v>
      </c>
      <c r="AI276" s="1" t="str">
        <v>851,963</v>
      </c>
      <c r="AJ276" s="1" t="str">
        <v>851</v>
      </c>
      <c r="AK276" s="1" t="str">
        <v>963</v>
      </c>
      <c r="AL276" s="1">
        <v>819513</v>
      </c>
    </row>
    <row r="277" spans="4:38" x14ac:dyDescent="0.3">
      <c r="D277" s="2">
        <v>274</v>
      </c>
      <c r="E277" s="2">
        <f>SEARCH("mul",$C$4,E276+1)</f>
        <v>6746</v>
      </c>
      <c r="F277" s="2" t="str">
        <f>MID($C$4,E277,$F$1)</f>
        <v>mul(764,627)#/m</v>
      </c>
      <c r="G277" s="3">
        <f>SEARCH("(",F277)</f>
        <v>4</v>
      </c>
      <c r="H277" s="3">
        <f>SEARCH(",",F277)</f>
        <v>8</v>
      </c>
      <c r="I277" s="3">
        <f>SEARCH(")",F277)</f>
        <v>12</v>
      </c>
      <c r="J277" s="2" t="str">
        <f>IF(OR(ISERROR(G277),ISERROR(H277),ISERROR(I277)),"CORRUPT!","")</f>
        <v/>
      </c>
      <c r="K277" s="2" t="str">
        <f>IF(J277&lt;&gt;"","",MID(F277, G277+1, H277-G277-1))</f>
        <v>764</v>
      </c>
      <c r="L277" s="2">
        <f>IF(J277&lt;&gt;"","",LEN(K277))</f>
        <v>3</v>
      </c>
      <c r="M277" s="2" t="str">
        <f>IF(J277&lt;&gt;"","",MID(F277, H277+1, I277-H277-1))</f>
        <v>627</v>
      </c>
      <c r="N277" s="2">
        <f>IF(J277&lt;&gt;"","",LEN(M277))</f>
        <v>3</v>
      </c>
      <c r="O277" s="2">
        <f>IF(J277&lt;&gt;"","",K277*M277)</f>
        <v>479028</v>
      </c>
      <c r="R277" s="1" t="str">
        <v>223,912)what()^@ {{^@/</v>
      </c>
      <c r="S277" s="1" t="str">
        <v>893,646</v>
      </c>
      <c r="T277" s="1" t="str">
        <v>893</v>
      </c>
      <c r="U277" s="1" t="str">
        <v>646</v>
      </c>
      <c r="V277" s="1">
        <v>576878</v>
      </c>
      <c r="AH277" s="1" t="str">
        <v>45,859)[;select() ~%]when()!where()</v>
      </c>
      <c r="AI277" s="1" t="str">
        <v>45,859</v>
      </c>
      <c r="AJ277" s="1" t="str">
        <v>45</v>
      </c>
      <c r="AK277" s="1" t="str">
        <v>859</v>
      </c>
      <c r="AL277" s="1">
        <v>38655</v>
      </c>
    </row>
    <row r="278" spans="4:38" x14ac:dyDescent="0.3">
      <c r="D278" s="2">
        <v>275</v>
      </c>
      <c r="E278" s="2">
        <f>SEARCH("mul",$C$4,E277+1)</f>
        <v>6760</v>
      </c>
      <c r="F278" s="2" t="str">
        <f>MID($C$4,E278,$F$1)</f>
        <v>mul(887,607), d</v>
      </c>
      <c r="G278" s="3">
        <f>SEARCH("(",F278)</f>
        <v>4</v>
      </c>
      <c r="H278" s="3">
        <f>SEARCH(",",F278)</f>
        <v>8</v>
      </c>
      <c r="I278" s="3">
        <f>SEARCH(")",F278)</f>
        <v>12</v>
      </c>
      <c r="J278" s="2" t="str">
        <f>IF(OR(ISERROR(G278),ISERROR(H278),ISERROR(I278)),"CORRUPT!","")</f>
        <v/>
      </c>
      <c r="K278" s="2" t="str">
        <f>IF(J278&lt;&gt;"","",MID(F278, G278+1, H278-G278-1))</f>
        <v>887</v>
      </c>
      <c r="L278" s="2">
        <f>IF(J278&lt;&gt;"","",LEN(K278))</f>
        <v>3</v>
      </c>
      <c r="M278" s="2" t="str">
        <f>IF(J278&lt;&gt;"","",MID(F278, H278+1, I278-H278-1))</f>
        <v>607</v>
      </c>
      <c r="N278" s="2">
        <f>IF(J278&lt;&gt;"","",LEN(M278))</f>
        <v>3</v>
      </c>
      <c r="O278" s="2">
        <f>IF(J278&lt;&gt;"","",K278*M278)</f>
        <v>538409</v>
      </c>
      <c r="R278" s="1" t="str">
        <v>736,965)$)]];-#@&amp;</v>
      </c>
      <c r="S278" s="1" t="str">
        <v>205,416</v>
      </c>
      <c r="T278" s="1" t="str">
        <v>205</v>
      </c>
      <c r="U278" s="1" t="str">
        <v>416</v>
      </c>
      <c r="V278" s="1">
        <v>85280</v>
      </c>
      <c r="AH278" s="1" t="str">
        <v>807,272):#from()</v>
      </c>
      <c r="AI278" s="1" t="str">
        <v>807,272</v>
      </c>
      <c r="AJ278" s="1" t="str">
        <v>807</v>
      </c>
      <c r="AK278" s="1" t="str">
        <v>272</v>
      </c>
      <c r="AL278" s="1">
        <v>219504</v>
      </c>
    </row>
    <row r="279" spans="4:38" x14ac:dyDescent="0.3">
      <c r="D279" s="2">
        <v>276</v>
      </c>
      <c r="E279" s="2">
        <f>SEARCH("mul",$C$4,E278+1)</f>
        <v>6797</v>
      </c>
      <c r="F279" s="2" t="str">
        <f>MID($C$4,E279,$F$1)</f>
        <v>mul(184,287)whe</v>
      </c>
      <c r="G279" s="3">
        <f>SEARCH("(",F279)</f>
        <v>4</v>
      </c>
      <c r="H279" s="3">
        <f>SEARCH(",",F279)</f>
        <v>8</v>
      </c>
      <c r="I279" s="3">
        <f>SEARCH(")",F279)</f>
        <v>12</v>
      </c>
      <c r="J279" s="2" t="str">
        <f>IF(OR(ISERROR(G279),ISERROR(H279),ISERROR(I279)),"CORRUPT!","")</f>
        <v/>
      </c>
      <c r="K279" s="2" t="str">
        <f>IF(J279&lt;&gt;"","",MID(F279, G279+1, H279-G279-1))</f>
        <v>184</v>
      </c>
      <c r="L279" s="2">
        <f>IF(J279&lt;&gt;"","",LEN(K279))</f>
        <v>3</v>
      </c>
      <c r="M279" s="2" t="str">
        <f>IF(J279&lt;&gt;"","",MID(F279, H279+1, I279-H279-1))</f>
        <v>287</v>
      </c>
      <c r="N279" s="2">
        <f>IF(J279&lt;&gt;"","",LEN(M279))</f>
        <v>3</v>
      </c>
      <c r="O279" s="2">
        <f>IF(J279&lt;&gt;"","",K279*M279)</f>
        <v>52808</v>
      </c>
      <c r="R279" s="1" t="str">
        <v>600,145)~/}*-}how()</v>
      </c>
      <c r="S279" s="1" t="str">
        <v>35,844</v>
      </c>
      <c r="T279" s="1" t="str">
        <v>35</v>
      </c>
      <c r="U279" s="1" t="str">
        <v>844</v>
      </c>
      <c r="V279" s="1">
        <v>29540</v>
      </c>
      <c r="AH279" s="1" t="str">
        <v>943,224)?$</v>
      </c>
      <c r="AI279" s="1" t="str">
        <v>943,224</v>
      </c>
      <c r="AJ279" s="1" t="str">
        <v>943</v>
      </c>
      <c r="AK279" s="1" t="str">
        <v>224</v>
      </c>
      <c r="AL279" s="1">
        <v>211232</v>
      </c>
    </row>
    <row r="280" spans="4:38" x14ac:dyDescent="0.3">
      <c r="D280" s="2">
        <v>277</v>
      </c>
      <c r="E280" s="2">
        <f>SEARCH("mul",$C$4,E279+1)</f>
        <v>6818</v>
      </c>
      <c r="F280" s="2" t="str">
        <f>MID($C$4,E280,$F$1)</f>
        <v>mul(859,310){wh</v>
      </c>
      <c r="G280" s="3">
        <f>SEARCH("(",F280)</f>
        <v>4</v>
      </c>
      <c r="H280" s="3">
        <f>SEARCH(",",F280)</f>
        <v>8</v>
      </c>
      <c r="I280" s="3">
        <f>SEARCH(")",F280)</f>
        <v>12</v>
      </c>
      <c r="J280" s="2" t="str">
        <f>IF(OR(ISERROR(G280),ISERROR(H280),ISERROR(I280)),"CORRUPT!","")</f>
        <v/>
      </c>
      <c r="K280" s="2" t="str">
        <f>IF(J280&lt;&gt;"","",MID(F280, G280+1, H280-G280-1))</f>
        <v>859</v>
      </c>
      <c r="L280" s="2">
        <f>IF(J280&lt;&gt;"","",LEN(K280))</f>
        <v>3</v>
      </c>
      <c r="M280" s="2" t="str">
        <f>IF(J280&lt;&gt;"","",MID(F280, H280+1, I280-H280-1))</f>
        <v>310</v>
      </c>
      <c r="N280" s="2">
        <f>IF(J280&lt;&gt;"","",LEN(M280))</f>
        <v>3</v>
      </c>
      <c r="O280" s="2">
        <f>IF(J280&lt;&gt;"","",K280*M280)</f>
        <v>266290</v>
      </c>
      <c r="R280" s="1" t="str">
        <v>893,646):where()}</v>
      </c>
      <c r="S280" s="1" t="str">
        <v>94,245</v>
      </c>
      <c r="T280" s="1" t="str">
        <v>94</v>
      </c>
      <c r="U280" s="1" t="str">
        <v>245</v>
      </c>
      <c r="V280" s="1">
        <v>23030</v>
      </c>
      <c r="AH280" s="1" t="str">
        <v>415,924)'from()?</v>
      </c>
      <c r="AI280" s="1" t="str">
        <v>415,924</v>
      </c>
      <c r="AJ280" s="1" t="str">
        <v>415</v>
      </c>
      <c r="AK280" s="1" t="str">
        <v>924</v>
      </c>
      <c r="AL280" s="1">
        <v>383460</v>
      </c>
    </row>
    <row r="281" spans="4:38" x14ac:dyDescent="0.3">
      <c r="D281" s="2">
        <v>278</v>
      </c>
      <c r="E281" s="2">
        <f>SEARCH("mul",$C$4,E280+1)</f>
        <v>6841</v>
      </c>
      <c r="F281" s="2" t="str">
        <f>MID($C$4,E281,$F$1)</f>
        <v>mul(692,592){&gt;?</v>
      </c>
      <c r="G281" s="3">
        <f>SEARCH("(",F281)</f>
        <v>4</v>
      </c>
      <c r="H281" s="3">
        <f>SEARCH(",",F281)</f>
        <v>8</v>
      </c>
      <c r="I281" s="3">
        <f>SEARCH(")",F281)</f>
        <v>12</v>
      </c>
      <c r="J281" s="2" t="str">
        <f>IF(OR(ISERROR(G281),ISERROR(H281),ISERROR(I281)),"CORRUPT!","")</f>
        <v/>
      </c>
      <c r="K281" s="2" t="str">
        <f>IF(J281&lt;&gt;"","",MID(F281, G281+1, H281-G281-1))</f>
        <v>692</v>
      </c>
      <c r="L281" s="2">
        <f>IF(J281&lt;&gt;"","",LEN(K281))</f>
        <v>3</v>
      </c>
      <c r="M281" s="2" t="str">
        <f>IF(J281&lt;&gt;"","",MID(F281, H281+1, I281-H281-1))</f>
        <v>592</v>
      </c>
      <c r="N281" s="2">
        <f>IF(J281&lt;&gt;"","",LEN(M281))</f>
        <v>3</v>
      </c>
      <c r="O281" s="2">
        <f>IF(J281&lt;&gt;"","",K281*M281)</f>
        <v>409664</v>
      </c>
      <c r="R281" s="1" t="str">
        <v>205,416)what()from()</v>
      </c>
      <c r="S281" s="1" t="str">
        <v>943,490</v>
      </c>
      <c r="T281" s="1" t="str">
        <v>943</v>
      </c>
      <c r="U281" s="1" t="str">
        <v>490</v>
      </c>
      <c r="V281" s="1">
        <v>462070</v>
      </c>
      <c r="AH281" s="1" t="str">
        <v>204,131)}(&gt;what()^&gt;*{'</v>
      </c>
      <c r="AI281" s="1" t="str">
        <v>204,131</v>
      </c>
      <c r="AJ281" s="1" t="str">
        <v>204</v>
      </c>
      <c r="AK281" s="1" t="str">
        <v>131</v>
      </c>
      <c r="AL281" s="1">
        <v>26724</v>
      </c>
    </row>
    <row r="282" spans="4:38" x14ac:dyDescent="0.3">
      <c r="D282" s="2">
        <v>279</v>
      </c>
      <c r="E282" s="2">
        <f>SEARCH("mul",$C$4,E281+1)</f>
        <v>6857</v>
      </c>
      <c r="F282" s="2" t="str">
        <f>MID($C$4,E282,$F$1)</f>
        <v>mul(223,912)wha</v>
      </c>
      <c r="G282" s="3">
        <f>SEARCH("(",F282)</f>
        <v>4</v>
      </c>
      <c r="H282" s="3">
        <f>SEARCH(",",F282)</f>
        <v>8</v>
      </c>
      <c r="I282" s="3">
        <f>SEARCH(")",F282)</f>
        <v>12</v>
      </c>
      <c r="J282" s="2" t="str">
        <f>IF(OR(ISERROR(G282),ISERROR(H282),ISERROR(I282)),"CORRUPT!","")</f>
        <v/>
      </c>
      <c r="K282" s="2" t="str">
        <f>IF(J282&lt;&gt;"","",MID(F282, G282+1, H282-G282-1))</f>
        <v>223</v>
      </c>
      <c r="L282" s="2">
        <f>IF(J282&lt;&gt;"","",LEN(K282))</f>
        <v>3</v>
      </c>
      <c r="M282" s="2" t="str">
        <f>IF(J282&lt;&gt;"","",MID(F282, H282+1, I282-H282-1))</f>
        <v>912</v>
      </c>
      <c r="N282" s="2">
        <f>IF(J282&lt;&gt;"","",LEN(M282))</f>
        <v>3</v>
      </c>
      <c r="O282" s="2">
        <f>IF(J282&lt;&gt;"","",K282*M282)</f>
        <v>203376</v>
      </c>
      <c r="R282" s="1" t="str">
        <v>35,844)</v>
      </c>
      <c r="S282" s="1" t="str">
        <v>187,639</v>
      </c>
      <c r="T282" s="1" t="str">
        <v>187</v>
      </c>
      <c r="U282" s="1" t="str">
        <v>639</v>
      </c>
      <c r="V282" s="1">
        <v>119493</v>
      </c>
      <c r="AH282" s="1" t="str">
        <v>670,505)$mul&amp;&amp;/&lt;why()@#(*~/:&gt;(</v>
      </c>
      <c r="AI282" s="1" t="str">
        <v>670,505</v>
      </c>
      <c r="AJ282" s="1" t="str">
        <v>670</v>
      </c>
      <c r="AK282" s="1" t="str">
        <v>505</v>
      </c>
      <c r="AL282" s="1">
        <v>338350</v>
      </c>
    </row>
    <row r="283" spans="4:38" x14ac:dyDescent="0.3">
      <c r="D283" s="2">
        <v>280</v>
      </c>
      <c r="E283" s="2">
        <f>SEARCH("mul",$C$4,E282+1)</f>
        <v>6883</v>
      </c>
      <c r="F283" s="2" t="str">
        <f>MID($C$4,E283,$F$1)</f>
        <v>mul(736,965)$)]</v>
      </c>
      <c r="G283" s="3">
        <f>SEARCH("(",F283)</f>
        <v>4</v>
      </c>
      <c r="H283" s="3">
        <f>SEARCH(",",F283)</f>
        <v>8</v>
      </c>
      <c r="I283" s="3">
        <f>SEARCH(")",F283)</f>
        <v>12</v>
      </c>
      <c r="J283" s="2" t="str">
        <f>IF(OR(ISERROR(G283),ISERROR(H283),ISERROR(I283)),"CORRUPT!","")</f>
        <v/>
      </c>
      <c r="K283" s="2" t="str">
        <f>IF(J283&lt;&gt;"","",MID(F283, G283+1, H283-G283-1))</f>
        <v>736</v>
      </c>
      <c r="L283" s="2">
        <f>IF(J283&lt;&gt;"","",LEN(K283))</f>
        <v>3</v>
      </c>
      <c r="M283" s="2" t="str">
        <f>IF(J283&lt;&gt;"","",MID(F283, H283+1, I283-H283-1))</f>
        <v>965</v>
      </c>
      <c r="N283" s="2">
        <f>IF(J283&lt;&gt;"","",LEN(M283))</f>
        <v>3</v>
      </c>
      <c r="O283" s="2">
        <f>IF(J283&lt;&gt;"","",K283*M283)</f>
        <v>710240</v>
      </c>
      <c r="R283" s="1" t="str">
        <v>94,245))/&lt;#&lt;/$when()who(236,448)</v>
      </c>
      <c r="S283" s="1" t="str">
        <v>105,840</v>
      </c>
      <c r="T283" s="1" t="str">
        <v>105</v>
      </c>
      <c r="U283" s="1" t="str">
        <v>840</v>
      </c>
      <c r="V283" s="1">
        <v>88200</v>
      </c>
      <c r="AH283" s="1" t="str">
        <v>672,267)</v>
      </c>
      <c r="AI283" s="1" t="str">
        <v>672,267</v>
      </c>
      <c r="AJ283" s="1" t="str">
        <v>672</v>
      </c>
      <c r="AK283" s="1" t="str">
        <v>267</v>
      </c>
      <c r="AL283" s="1">
        <v>179424</v>
      </c>
    </row>
    <row r="284" spans="4:38" x14ac:dyDescent="0.3">
      <c r="D284" s="2">
        <v>281</v>
      </c>
      <c r="E284" s="2">
        <f>SEARCH("mul",$C$4,E283+1)</f>
        <v>6904</v>
      </c>
      <c r="F284" s="2" t="str">
        <f>MID($C$4,E284,$F$1)</f>
        <v>mul(600,145)~/}</v>
      </c>
      <c r="G284" s="3">
        <f>SEARCH("(",F284)</f>
        <v>4</v>
      </c>
      <c r="H284" s="3">
        <f>SEARCH(",",F284)</f>
        <v>8</v>
      </c>
      <c r="I284" s="3">
        <f>SEARCH(")",F284)</f>
        <v>12</v>
      </c>
      <c r="J284" s="2" t="str">
        <f>IF(OR(ISERROR(G284),ISERROR(H284),ISERROR(I284)),"CORRUPT!","")</f>
        <v/>
      </c>
      <c r="K284" s="2" t="str">
        <f>IF(J284&lt;&gt;"","",MID(F284, G284+1, H284-G284-1))</f>
        <v>600</v>
      </c>
      <c r="L284" s="2">
        <f>IF(J284&lt;&gt;"","",LEN(K284))</f>
        <v>3</v>
      </c>
      <c r="M284" s="2" t="str">
        <f>IF(J284&lt;&gt;"","",MID(F284, H284+1, I284-H284-1))</f>
        <v>145</v>
      </c>
      <c r="N284" s="2">
        <f>IF(J284&lt;&gt;"","",LEN(M284))</f>
        <v>3</v>
      </c>
      <c r="O284" s="2">
        <f>IF(J284&lt;&gt;"","",K284*M284)</f>
        <v>87000</v>
      </c>
      <c r="R284" s="1" t="str">
        <v>943,490)^?*!</v>
      </c>
      <c r="S284" s="1" t="str">
        <v>495,135</v>
      </c>
      <c r="T284" s="1" t="str">
        <v>495</v>
      </c>
      <c r="U284" s="1" t="str">
        <v>135</v>
      </c>
      <c r="V284" s="1">
        <v>66825</v>
      </c>
      <c r="AH284" s="1" t="str">
        <v>540,120)&lt;$[-&gt;!}</v>
      </c>
      <c r="AI284" s="1" t="str">
        <v>540,120</v>
      </c>
      <c r="AJ284" s="1" t="str">
        <v>540</v>
      </c>
      <c r="AK284" s="1" t="str">
        <v>120</v>
      </c>
      <c r="AL284" s="1">
        <v>64800</v>
      </c>
    </row>
    <row r="285" spans="4:38" x14ac:dyDescent="0.3">
      <c r="D285" s="2">
        <v>282</v>
      </c>
      <c r="E285" s="2">
        <f>SEARCH("mul",$C$4,E284+1)</f>
        <v>6927</v>
      </c>
      <c r="F285" s="2" t="str">
        <f>MID($C$4,E285,$F$1)</f>
        <v>mul(893,646):wh</v>
      </c>
      <c r="G285" s="3">
        <f>SEARCH("(",F285)</f>
        <v>4</v>
      </c>
      <c r="H285" s="3">
        <f>SEARCH(",",F285)</f>
        <v>8</v>
      </c>
      <c r="I285" s="3">
        <f>SEARCH(")",F285)</f>
        <v>12</v>
      </c>
      <c r="J285" s="2" t="str">
        <f>IF(OR(ISERROR(G285),ISERROR(H285),ISERROR(I285)),"CORRUPT!","")</f>
        <v/>
      </c>
      <c r="K285" s="2" t="str">
        <f>IF(J285&lt;&gt;"","",MID(F285, G285+1, H285-G285-1))</f>
        <v>893</v>
      </c>
      <c r="L285" s="2">
        <f>IF(J285&lt;&gt;"","",LEN(K285))</f>
        <v>3</v>
      </c>
      <c r="M285" s="2" t="str">
        <f>IF(J285&lt;&gt;"","",MID(F285, H285+1, I285-H285-1))</f>
        <v>646</v>
      </c>
      <c r="N285" s="2">
        <f>IF(J285&lt;&gt;"","",LEN(M285))</f>
        <v>3</v>
      </c>
      <c r="O285" s="2">
        <f>IF(J285&lt;&gt;"","",K285*M285)</f>
        <v>576878</v>
      </c>
      <c r="R285" s="1" t="str">
        <v>187,639)select()</v>
      </c>
      <c r="S285" s="1" t="str">
        <v>129,293</v>
      </c>
      <c r="T285" s="1" t="str">
        <v>129</v>
      </c>
      <c r="U285" s="1" t="str">
        <v>293</v>
      </c>
      <c r="V285" s="1">
        <v>37797</v>
      </c>
      <c r="AH285" s="1" t="str">
        <v>234,539)!%]who(){</v>
      </c>
      <c r="AI285" s="1" t="str">
        <v>234,539</v>
      </c>
      <c r="AJ285" s="1" t="str">
        <v>234</v>
      </c>
      <c r="AK285" s="1" t="str">
        <v>539</v>
      </c>
      <c r="AL285" s="1">
        <v>126126</v>
      </c>
    </row>
    <row r="286" spans="4:38" x14ac:dyDescent="0.3">
      <c r="D286" s="2">
        <v>283</v>
      </c>
      <c r="E286" s="2">
        <f>SEARCH("mul",$C$4,E285+1)</f>
        <v>6948</v>
      </c>
      <c r="F286" s="2" t="str">
        <f>MID($C$4,E286,$F$1)</f>
        <v>mul(205,416)wha</v>
      </c>
      <c r="G286" s="3">
        <f>SEARCH("(",F286)</f>
        <v>4</v>
      </c>
      <c r="H286" s="3">
        <f>SEARCH(",",F286)</f>
        <v>8</v>
      </c>
      <c r="I286" s="3">
        <f>SEARCH(")",F286)</f>
        <v>12</v>
      </c>
      <c r="J286" s="2" t="str">
        <f>IF(OR(ISERROR(G286),ISERROR(H286),ISERROR(I286)),"CORRUPT!","")</f>
        <v/>
      </c>
      <c r="K286" s="2" t="str">
        <f>IF(J286&lt;&gt;"","",MID(F286, G286+1, H286-G286-1))</f>
        <v>205</v>
      </c>
      <c r="L286" s="2">
        <f>IF(J286&lt;&gt;"","",LEN(K286))</f>
        <v>3</v>
      </c>
      <c r="M286" s="2" t="str">
        <f>IF(J286&lt;&gt;"","",MID(F286, H286+1, I286-H286-1))</f>
        <v>416</v>
      </c>
      <c r="N286" s="2">
        <f>IF(J286&lt;&gt;"","",LEN(M286))</f>
        <v>3</v>
      </c>
      <c r="O286" s="2">
        <f>IF(J286&lt;&gt;"","",K286*M286)</f>
        <v>85280</v>
      </c>
      <c r="R286" s="1" t="str">
        <v>105,840)#;-;((&amp;,select()</v>
      </c>
      <c r="S286" s="1" t="str">
        <v>724,202</v>
      </c>
      <c r="T286" s="1" t="str">
        <v>724</v>
      </c>
      <c r="U286" s="1" t="str">
        <v>202</v>
      </c>
      <c r="V286" s="1">
        <v>146248</v>
      </c>
      <c r="AH286" s="1" t="str">
        <v>30,143)*</v>
      </c>
      <c r="AI286" s="1" t="str">
        <v>30,143</v>
      </c>
      <c r="AJ286" s="1" t="str">
        <v>30</v>
      </c>
      <c r="AK286" s="1" t="str">
        <v>143</v>
      </c>
      <c r="AL286" s="1">
        <v>4290</v>
      </c>
    </row>
    <row r="287" spans="4:38" x14ac:dyDescent="0.3">
      <c r="D287" s="2">
        <v>284</v>
      </c>
      <c r="E287" s="2">
        <f>SEARCH("mul",$C$4,E286+1)</f>
        <v>6972</v>
      </c>
      <c r="F287" s="2" t="str">
        <f>MID($C$4,E287,$F$1)</f>
        <v>mul(35,844)mul(</v>
      </c>
      <c r="G287" s="3">
        <f>SEARCH("(",F287)</f>
        <v>4</v>
      </c>
      <c r="H287" s="3">
        <f>SEARCH(",",F287)</f>
        <v>7</v>
      </c>
      <c r="I287" s="3">
        <f>SEARCH(")",F287)</f>
        <v>11</v>
      </c>
      <c r="J287" s="2" t="str">
        <f>IF(OR(ISERROR(G287),ISERROR(H287),ISERROR(I287)),"CORRUPT!","")</f>
        <v/>
      </c>
      <c r="K287" s="2" t="str">
        <f>IF(J287&lt;&gt;"","",MID(F287, G287+1, H287-G287-1))</f>
        <v>35</v>
      </c>
      <c r="L287" s="2">
        <f>IF(J287&lt;&gt;"","",LEN(K287))</f>
        <v>2</v>
      </c>
      <c r="M287" s="2" t="str">
        <f>IF(J287&lt;&gt;"","",MID(F287, H287+1, I287-H287-1))</f>
        <v>844</v>
      </c>
      <c r="N287" s="2">
        <f>IF(J287&lt;&gt;"","",LEN(M287))</f>
        <v>3</v>
      </c>
      <c r="O287" s="2">
        <f>IF(J287&lt;&gt;"","",K287*M287)</f>
        <v>29540</v>
      </c>
      <c r="R287" s="1" t="str">
        <v>495,135)don't()when()(&amp;</v>
      </c>
      <c r="S287" s="1" t="str">
        <v>540,481</v>
      </c>
      <c r="T287" s="1" t="str">
        <v>540</v>
      </c>
      <c r="U287" s="1" t="str">
        <v>481</v>
      </c>
      <c r="V287" s="1">
        <v>259740</v>
      </c>
      <c r="AH287" s="1" t="str">
        <v>545,761)where()'!how(935,4)who()%'{~</v>
      </c>
      <c r="AI287" s="1" t="str">
        <v>545,761</v>
      </c>
      <c r="AJ287" s="1" t="str">
        <v>545</v>
      </c>
      <c r="AK287" s="1" t="str">
        <v>761</v>
      </c>
      <c r="AL287" s="1">
        <v>414745</v>
      </c>
    </row>
    <row r="288" spans="4:38" x14ac:dyDescent="0.3">
      <c r="D288" s="2">
        <v>285</v>
      </c>
      <c r="E288" s="2">
        <f>SEARCH("mul",$C$4,E287+1)</f>
        <v>6983</v>
      </c>
      <c r="F288" s="2" t="str">
        <f>MID($C$4,E288,$F$1)</f>
        <v>mul(94,245))/&lt;#</v>
      </c>
      <c r="G288" s="3">
        <f>SEARCH("(",F288)</f>
        <v>4</v>
      </c>
      <c r="H288" s="3">
        <f>SEARCH(",",F288)</f>
        <v>7</v>
      </c>
      <c r="I288" s="3">
        <f>SEARCH(")",F288)</f>
        <v>11</v>
      </c>
      <c r="J288" s="2" t="str">
        <f>IF(OR(ISERROR(G288),ISERROR(H288),ISERROR(I288)),"CORRUPT!","")</f>
        <v/>
      </c>
      <c r="K288" s="2" t="str">
        <f>IF(J288&lt;&gt;"","",MID(F288, G288+1, H288-G288-1))</f>
        <v>94</v>
      </c>
      <c r="L288" s="2">
        <f>IF(J288&lt;&gt;"","",LEN(K288))</f>
        <v>2</v>
      </c>
      <c r="M288" s="2" t="str">
        <f>IF(J288&lt;&gt;"","",MID(F288, H288+1, I288-H288-1))</f>
        <v>245</v>
      </c>
      <c r="N288" s="2">
        <f>IF(J288&lt;&gt;"","",LEN(M288))</f>
        <v>3</v>
      </c>
      <c r="O288" s="2">
        <f>IF(J288&lt;&gt;"","",K288*M288)</f>
        <v>23030</v>
      </c>
      <c r="R288" s="1" t="str">
        <v>129,293)}}{~from()]select()*+</v>
      </c>
      <c r="S288" s="1" t="str">
        <v>604,366</v>
      </c>
      <c r="T288" s="1" t="str">
        <v>604</v>
      </c>
      <c r="U288" s="1" t="str">
        <v>366</v>
      </c>
      <c r="V288" s="1">
        <v>221064</v>
      </c>
      <c r="AH288" s="1" t="str">
        <v>673,752why()what()^:</v>
      </c>
      <c r="AI288" s="1" t="str">
        <v>673,752why(</v>
      </c>
      <c r="AJ288" s="1" t="str">
        <v>673</v>
      </c>
      <c r="AK288" s="1" t="str">
        <v>752why(</v>
      </c>
      <c r="AL288" s="1">
        <v>0</v>
      </c>
    </row>
    <row r="289" spans="4:38" x14ac:dyDescent="0.3">
      <c r="D289" s="2">
        <v>286</v>
      </c>
      <c r="E289" s="2">
        <f>SEARCH("mul",$C$4,E288+1)</f>
        <v>7019</v>
      </c>
      <c r="F289" s="2" t="str">
        <f>MID($C$4,E289,$F$1)</f>
        <v>mul(943,490)^?*</v>
      </c>
      <c r="G289" s="3">
        <f>SEARCH("(",F289)</f>
        <v>4</v>
      </c>
      <c r="H289" s="3">
        <f>SEARCH(",",F289)</f>
        <v>8</v>
      </c>
      <c r="I289" s="3">
        <f>SEARCH(")",F289)</f>
        <v>12</v>
      </c>
      <c r="J289" s="2" t="str">
        <f>IF(OR(ISERROR(G289),ISERROR(H289),ISERROR(I289)),"CORRUPT!","")</f>
        <v/>
      </c>
      <c r="K289" s="2" t="str">
        <f>IF(J289&lt;&gt;"","",MID(F289, G289+1, H289-G289-1))</f>
        <v>943</v>
      </c>
      <c r="L289" s="2">
        <f>IF(J289&lt;&gt;"","",LEN(K289))</f>
        <v>3</v>
      </c>
      <c r="M289" s="2" t="str">
        <f>IF(J289&lt;&gt;"","",MID(F289, H289+1, I289-H289-1))</f>
        <v>490</v>
      </c>
      <c r="N289" s="2">
        <f>IF(J289&lt;&gt;"","",LEN(M289))</f>
        <v>3</v>
      </c>
      <c r="O289" s="2">
        <f>IF(J289&lt;&gt;"","",K289*M289)</f>
        <v>462070</v>
      </c>
      <c r="R289" s="1" t="str">
        <v>724,202)</v>
      </c>
      <c r="S289" s="1" t="str">
        <v>82,14</v>
      </c>
      <c r="T289" s="1" t="str">
        <v>82</v>
      </c>
      <c r="U289" s="1" t="str">
        <v>14</v>
      </c>
      <c r="V289" s="1">
        <v>1148</v>
      </c>
      <c r="AH289" s="1" t="str">
        <v>111,407)from()}</v>
      </c>
      <c r="AI289" s="1" t="str">
        <v>111,407</v>
      </c>
      <c r="AJ289" s="1" t="str">
        <v>111</v>
      </c>
      <c r="AK289" s="1" t="str">
        <v>407</v>
      </c>
      <c r="AL289" s="1">
        <v>45177</v>
      </c>
    </row>
    <row r="290" spans="4:38" x14ac:dyDescent="0.3">
      <c r="D290" s="2">
        <v>287</v>
      </c>
      <c r="E290" s="2">
        <f>SEARCH("mul",$C$4,E289+1)</f>
        <v>7035</v>
      </c>
      <c r="F290" s="2" t="str">
        <f>MID($C$4,E290,$F$1)</f>
        <v>mul(187,639)sel</v>
      </c>
      <c r="G290" s="3">
        <f>SEARCH("(",F290)</f>
        <v>4</v>
      </c>
      <c r="H290" s="3">
        <f>SEARCH(",",F290)</f>
        <v>8</v>
      </c>
      <c r="I290" s="3">
        <f>SEARCH(")",F290)</f>
        <v>12</v>
      </c>
      <c r="J290" s="2" t="str">
        <f>IF(OR(ISERROR(G290),ISERROR(H290),ISERROR(I290)),"CORRUPT!","")</f>
        <v/>
      </c>
      <c r="K290" s="2" t="str">
        <f>IF(J290&lt;&gt;"","",MID(F290, G290+1, H290-G290-1))</f>
        <v>187</v>
      </c>
      <c r="L290" s="2">
        <f>IF(J290&lt;&gt;"","",LEN(K290))</f>
        <v>3</v>
      </c>
      <c r="M290" s="2" t="str">
        <f>IF(J290&lt;&gt;"","",MID(F290, H290+1, I290-H290-1))</f>
        <v>639</v>
      </c>
      <c r="N290" s="2">
        <f>IF(J290&lt;&gt;"","",LEN(M290))</f>
        <v>3</v>
      </c>
      <c r="O290" s="2">
        <f>IF(J290&lt;&gt;"","",K290*M290)</f>
        <v>119493</v>
      </c>
      <c r="R290" s="1" t="str">
        <v>540,481)+when()$&gt;&lt;from()?$#</v>
      </c>
      <c r="S290" s="1" t="str">
        <v>576,422</v>
      </c>
      <c r="T290" s="1" t="str">
        <v>576</v>
      </c>
      <c r="U290" s="1" t="str">
        <v>422</v>
      </c>
      <c r="V290" s="1">
        <v>243072</v>
      </c>
      <c r="AH290" s="1" t="str">
        <v>860,90)#who()/^!how()-!{!</v>
      </c>
      <c r="AI290" s="1" t="str">
        <v>860,90</v>
      </c>
      <c r="AJ290" s="1" t="str">
        <v>860</v>
      </c>
      <c r="AK290" s="1" t="str">
        <v>90</v>
      </c>
      <c r="AL290" s="1">
        <v>77400</v>
      </c>
    </row>
    <row r="291" spans="4:38" x14ac:dyDescent="0.3">
      <c r="D291" s="2">
        <v>288</v>
      </c>
      <c r="E291" s="2">
        <f>SEARCH("mul",$C$4,E290+1)</f>
        <v>7055</v>
      </c>
      <c r="F291" s="2" t="str">
        <f>MID($C$4,E291,$F$1)</f>
        <v>mul(105,840)#;-</v>
      </c>
      <c r="G291" s="3">
        <f>SEARCH("(",F291)</f>
        <v>4</v>
      </c>
      <c r="H291" s="3">
        <f>SEARCH(",",F291)</f>
        <v>8</v>
      </c>
      <c r="I291" s="3">
        <f>SEARCH(")",F291)</f>
        <v>12</v>
      </c>
      <c r="J291" s="2" t="str">
        <f>IF(OR(ISERROR(G291),ISERROR(H291),ISERROR(I291)),"CORRUPT!","")</f>
        <v/>
      </c>
      <c r="K291" s="2" t="str">
        <f>IF(J291&lt;&gt;"","",MID(F291, G291+1, H291-G291-1))</f>
        <v>105</v>
      </c>
      <c r="L291" s="2">
        <f>IF(J291&lt;&gt;"","",LEN(K291))</f>
        <v>3</v>
      </c>
      <c r="M291" s="2" t="str">
        <f>IF(J291&lt;&gt;"","",MID(F291, H291+1, I291-H291-1))</f>
        <v>840</v>
      </c>
      <c r="N291" s="2">
        <f>IF(J291&lt;&gt;"","",LEN(M291))</f>
        <v>3</v>
      </c>
      <c r="O291" s="2">
        <f>IF(J291&lt;&gt;"","",K291*M291)</f>
        <v>88200</v>
      </c>
      <c r="R291" s="1" t="str">
        <v>604,366)where()why()^select()</v>
      </c>
      <c r="S291" s="1" t="str">
        <v>968,267</v>
      </c>
      <c r="T291" s="1" t="str">
        <v>968</v>
      </c>
      <c r="U291" s="1" t="str">
        <v>267</v>
      </c>
      <c r="V291" s="1">
        <v>258456</v>
      </c>
      <c r="AH291" s="1" t="str">
        <v>217,327)what()!'where()</v>
      </c>
      <c r="AI291" s="1" t="str">
        <v>217,327</v>
      </c>
      <c r="AJ291" s="1" t="str">
        <v>217</v>
      </c>
      <c r="AK291" s="1" t="str">
        <v>327</v>
      </c>
      <c r="AL291" s="1">
        <v>70959</v>
      </c>
    </row>
    <row r="292" spans="4:38" x14ac:dyDescent="0.3">
      <c r="D292" s="2">
        <v>289</v>
      </c>
      <c r="E292" s="2">
        <f>SEARCH("mul",$C$4,E291+1)</f>
        <v>7083</v>
      </c>
      <c r="F292" s="2" t="str">
        <f>MID($C$4,E292,$F$1)</f>
        <v>mul(495,135)don</v>
      </c>
      <c r="G292" s="3">
        <f>SEARCH("(",F292)</f>
        <v>4</v>
      </c>
      <c r="H292" s="3">
        <f>SEARCH(",",F292)</f>
        <v>8</v>
      </c>
      <c r="I292" s="3">
        <f>SEARCH(")",F292)</f>
        <v>12</v>
      </c>
      <c r="J292" s="2" t="str">
        <f>IF(OR(ISERROR(G292),ISERROR(H292),ISERROR(I292)),"CORRUPT!","")</f>
        <v/>
      </c>
      <c r="K292" s="2" t="str">
        <f>IF(J292&lt;&gt;"","",MID(F292, G292+1, H292-G292-1))</f>
        <v>495</v>
      </c>
      <c r="L292" s="2">
        <f>IF(J292&lt;&gt;"","",LEN(K292))</f>
        <v>3</v>
      </c>
      <c r="M292" s="2" t="str">
        <f>IF(J292&lt;&gt;"","",MID(F292, H292+1, I292-H292-1))</f>
        <v>135</v>
      </c>
      <c r="N292" s="2">
        <f>IF(J292&lt;&gt;"","",LEN(M292))</f>
        <v>3</v>
      </c>
      <c r="O292" s="2">
        <f>IF(J292&lt;&gt;"","",K292*M292)</f>
        <v>66825</v>
      </c>
      <c r="R292" s="1" t="str">
        <v>82,14){]what()##/^</v>
      </c>
      <c r="S292" s="1" t="str">
        <v>501,251</v>
      </c>
      <c r="T292" s="1" t="str">
        <v>501</v>
      </c>
      <c r="U292" s="1" t="str">
        <v>251</v>
      </c>
      <c r="V292" s="1">
        <v>125751</v>
      </c>
      <c r="AH292" s="1" t="str">
        <v>729,143)where()!how()#</v>
      </c>
      <c r="AI292" s="1" t="str">
        <v>729,143</v>
      </c>
      <c r="AJ292" s="1" t="str">
        <v>729</v>
      </c>
      <c r="AK292" s="1" t="str">
        <v>143</v>
      </c>
      <c r="AL292" s="1">
        <v>104247</v>
      </c>
    </row>
    <row r="293" spans="4:38" x14ac:dyDescent="0.3">
      <c r="D293" s="2">
        <v>290</v>
      </c>
      <c r="E293" s="2">
        <f>SEARCH("mul",$C$4,E292+1)</f>
        <v>7110</v>
      </c>
      <c r="F293" s="2" t="str">
        <f>MID($C$4,E293,$F$1)</f>
        <v>mul(129,293)}}{</v>
      </c>
      <c r="G293" s="3">
        <f>SEARCH("(",F293)</f>
        <v>4</v>
      </c>
      <c r="H293" s="3">
        <f>SEARCH(",",F293)</f>
        <v>8</v>
      </c>
      <c r="I293" s="3">
        <f>SEARCH(")",F293)</f>
        <v>12</v>
      </c>
      <c r="J293" s="2" t="str">
        <f>IF(OR(ISERROR(G293),ISERROR(H293),ISERROR(I293)),"CORRUPT!","")</f>
        <v/>
      </c>
      <c r="K293" s="2" t="str">
        <f>IF(J293&lt;&gt;"","",MID(F293, G293+1, H293-G293-1))</f>
        <v>129</v>
      </c>
      <c r="L293" s="2">
        <f>IF(J293&lt;&gt;"","",LEN(K293))</f>
        <v>3</v>
      </c>
      <c r="M293" s="2" t="str">
        <f>IF(J293&lt;&gt;"","",MID(F293, H293+1, I293-H293-1))</f>
        <v>293</v>
      </c>
      <c r="N293" s="2">
        <f>IF(J293&lt;&gt;"","",LEN(M293))</f>
        <v>3</v>
      </c>
      <c r="O293" s="2">
        <f>IF(J293&lt;&gt;"","",K293*M293)</f>
        <v>37797</v>
      </c>
      <c r="R293" s="1" t="str">
        <v>661$</v>
      </c>
      <c r="S293" s="1" t="str">
        <v>61,600</v>
      </c>
      <c r="T293" s="1" t="str">
        <v>61</v>
      </c>
      <c r="U293" s="1" t="str">
        <v>600</v>
      </c>
      <c r="V293" s="1">
        <v>36600</v>
      </c>
      <c r="AH293" s="1" t="str">
        <v>362,874)$how()how()-&gt;who()~^</v>
      </c>
      <c r="AI293" s="1" t="str">
        <v>362,874</v>
      </c>
      <c r="AJ293" s="1" t="str">
        <v>362</v>
      </c>
      <c r="AK293" s="1" t="str">
        <v>874</v>
      </c>
      <c r="AL293" s="1">
        <v>316388</v>
      </c>
    </row>
    <row r="294" spans="4:38" x14ac:dyDescent="0.3">
      <c r="D294" s="2">
        <v>291</v>
      </c>
      <c r="E294" s="2">
        <f>SEARCH("mul",$C$4,E293+1)</f>
        <v>7143</v>
      </c>
      <c r="F294" s="2" t="str">
        <f>MID($C$4,E294,$F$1)</f>
        <v>mul(724,202)mul</v>
      </c>
      <c r="G294" s="3">
        <f>SEARCH("(",F294)</f>
        <v>4</v>
      </c>
      <c r="H294" s="3">
        <f>SEARCH(",",F294)</f>
        <v>8</v>
      </c>
      <c r="I294" s="3">
        <f>SEARCH(")",F294)</f>
        <v>12</v>
      </c>
      <c r="J294" s="2" t="str">
        <f>IF(OR(ISERROR(G294),ISERROR(H294),ISERROR(I294)),"CORRUPT!","")</f>
        <v/>
      </c>
      <c r="K294" s="2" t="str">
        <f>IF(J294&lt;&gt;"","",MID(F294, G294+1, H294-G294-1))</f>
        <v>724</v>
      </c>
      <c r="L294" s="2">
        <f>IF(J294&lt;&gt;"","",LEN(K294))</f>
        <v>3</v>
      </c>
      <c r="M294" s="2" t="str">
        <f>IF(J294&lt;&gt;"","",MID(F294, H294+1, I294-H294-1))</f>
        <v>202</v>
      </c>
      <c r="N294" s="2">
        <f>IF(J294&lt;&gt;"","",LEN(M294))</f>
        <v>3</v>
      </c>
      <c r="O294" s="2">
        <f>IF(J294&lt;&gt;"","",K294*M294)</f>
        <v>146248</v>
      </c>
      <c r="R294" s="1" t="str">
        <v>576,422)!}*</v>
      </c>
      <c r="S294" s="1" t="str">
        <v>488,199</v>
      </c>
      <c r="T294" s="1" t="str">
        <v>488</v>
      </c>
      <c r="U294" s="1" t="str">
        <v>199</v>
      </c>
      <c r="V294" s="1">
        <v>97112</v>
      </c>
      <c r="AH294" s="1" t="str">
        <v>315,718)!'-@~</v>
      </c>
      <c r="AI294" s="1" t="str">
        <v>315,718</v>
      </c>
      <c r="AJ294" s="1" t="str">
        <v>315</v>
      </c>
      <c r="AK294" s="1" t="str">
        <v>718</v>
      </c>
      <c r="AL294" s="1">
        <v>226170</v>
      </c>
    </row>
    <row r="295" spans="4:38" x14ac:dyDescent="0.3">
      <c r="D295" s="2">
        <v>292</v>
      </c>
      <c r="E295" s="2">
        <f>SEARCH("mul",$C$4,E294+1)</f>
        <v>7155</v>
      </c>
      <c r="F295" s="2" t="str">
        <f>MID($C$4,E295,$F$1)</f>
        <v>mul(540,481)+wh</v>
      </c>
      <c r="G295" s="3">
        <f>SEARCH("(",F295)</f>
        <v>4</v>
      </c>
      <c r="H295" s="3">
        <f>SEARCH(",",F295)</f>
        <v>8</v>
      </c>
      <c r="I295" s="3">
        <f>SEARCH(")",F295)</f>
        <v>12</v>
      </c>
      <c r="J295" s="2" t="str">
        <f>IF(OR(ISERROR(G295),ISERROR(H295),ISERROR(I295)),"CORRUPT!","")</f>
        <v/>
      </c>
      <c r="K295" s="2" t="str">
        <f>IF(J295&lt;&gt;"","",MID(F295, G295+1, H295-G295-1))</f>
        <v>540</v>
      </c>
      <c r="L295" s="2">
        <f>IF(J295&lt;&gt;"","",LEN(K295))</f>
        <v>3</v>
      </c>
      <c r="M295" s="2" t="str">
        <f>IF(J295&lt;&gt;"","",MID(F295, H295+1, I295-H295-1))</f>
        <v>481</v>
      </c>
      <c r="N295" s="2">
        <f>IF(J295&lt;&gt;"","",LEN(M295))</f>
        <v>3</v>
      </c>
      <c r="O295" s="2">
        <f>IF(J295&lt;&gt;"","",K295*M295)</f>
        <v>259740</v>
      </c>
      <c r="R295" s="1" t="str">
        <v>968,267)</v>
      </c>
      <c r="S295" s="1" t="str">
        <v>695,154</v>
      </c>
      <c r="T295" s="1" t="str">
        <v>695</v>
      </c>
      <c r="U295" s="1" t="str">
        <v>154</v>
      </c>
      <c r="V295" s="1">
        <v>107030</v>
      </c>
      <c r="AH295" s="1" t="str">
        <v>206,449):/[??#</v>
      </c>
      <c r="AI295" s="1" t="str">
        <v>206,449</v>
      </c>
      <c r="AJ295" s="1" t="str">
        <v>206</v>
      </c>
      <c r="AK295" s="1" t="str">
        <v>449</v>
      </c>
      <c r="AL295" s="1">
        <v>92494</v>
      </c>
    </row>
    <row r="296" spans="4:38" x14ac:dyDescent="0.3">
      <c r="D296" s="2">
        <v>293</v>
      </c>
      <c r="E296" s="2">
        <f>SEARCH("mul",$C$4,E295+1)</f>
        <v>7186</v>
      </c>
      <c r="F296" s="2" t="str">
        <f>MID($C$4,E296,$F$1)</f>
        <v>mul(604,366)whe</v>
      </c>
      <c r="G296" s="3">
        <f>SEARCH("(",F296)</f>
        <v>4</v>
      </c>
      <c r="H296" s="3">
        <f>SEARCH(",",F296)</f>
        <v>8</v>
      </c>
      <c r="I296" s="3">
        <f>SEARCH(")",F296)</f>
        <v>12</v>
      </c>
      <c r="J296" s="2" t="str">
        <f>IF(OR(ISERROR(G296),ISERROR(H296),ISERROR(I296)),"CORRUPT!","")</f>
        <v/>
      </c>
      <c r="K296" s="2" t="str">
        <f>IF(J296&lt;&gt;"","",MID(F296, G296+1, H296-G296-1))</f>
        <v>604</v>
      </c>
      <c r="L296" s="2">
        <f>IF(J296&lt;&gt;"","",LEN(K296))</f>
        <v>3</v>
      </c>
      <c r="M296" s="2" t="str">
        <f>IF(J296&lt;&gt;"","",MID(F296, H296+1, I296-H296-1))</f>
        <v>366</v>
      </c>
      <c r="N296" s="2">
        <f>IF(J296&lt;&gt;"","",LEN(M296))</f>
        <v>3</v>
      </c>
      <c r="O296" s="2">
        <f>IF(J296&lt;&gt;"","",K296*M296)</f>
        <v>221064</v>
      </c>
      <c r="R296" s="1" t="str">
        <v>501,251)&lt;[,</v>
      </c>
      <c r="S296" s="1" t="str">
        <v>454,729</v>
      </c>
      <c r="T296" s="1" t="str">
        <v>454</v>
      </c>
      <c r="U296" s="1" t="str">
        <v>729</v>
      </c>
      <c r="V296" s="1">
        <v>330966</v>
      </c>
      <c r="AH296" s="1" t="str">
        <v>185,796)]~</v>
      </c>
      <c r="AI296" s="1" t="str">
        <v>185,796</v>
      </c>
      <c r="AJ296" s="1" t="str">
        <v>185</v>
      </c>
      <c r="AK296" s="1" t="str">
        <v>796</v>
      </c>
      <c r="AL296" s="1">
        <v>147260</v>
      </c>
    </row>
    <row r="297" spans="4:38" x14ac:dyDescent="0.3">
      <c r="D297" s="2">
        <v>294</v>
      </c>
      <c r="E297" s="2">
        <f>SEARCH("mul",$C$4,E296+1)</f>
        <v>7219</v>
      </c>
      <c r="F297" s="2" t="str">
        <f>MID($C$4,E297,$F$1)</f>
        <v>mul(82,14){]wha</v>
      </c>
      <c r="G297" s="3">
        <f>SEARCH("(",F297)</f>
        <v>4</v>
      </c>
      <c r="H297" s="3">
        <f>SEARCH(",",F297)</f>
        <v>7</v>
      </c>
      <c r="I297" s="3">
        <f>SEARCH(")",F297)</f>
        <v>10</v>
      </c>
      <c r="J297" s="2" t="str">
        <f>IF(OR(ISERROR(G297),ISERROR(H297),ISERROR(I297)),"CORRUPT!","")</f>
        <v/>
      </c>
      <c r="K297" s="2" t="str">
        <f>IF(J297&lt;&gt;"","",MID(F297, G297+1, H297-G297-1))</f>
        <v>82</v>
      </c>
      <c r="L297" s="2">
        <f>IF(J297&lt;&gt;"","",LEN(K297))</f>
        <v>2</v>
      </c>
      <c r="M297" s="2" t="str">
        <f>IF(J297&lt;&gt;"","",MID(F297, H297+1, I297-H297-1))</f>
        <v>14</v>
      </c>
      <c r="N297" s="2">
        <f>IF(J297&lt;&gt;"","",LEN(M297))</f>
        <v>2</v>
      </c>
      <c r="O297" s="2">
        <f>IF(J297&lt;&gt;"","",K297*M297)</f>
        <v>1148</v>
      </c>
      <c r="R297" s="1" t="str">
        <v>999-</v>
      </c>
      <c r="S297" s="1" t="str">
        <v>656,115</v>
      </c>
      <c r="T297" s="1" t="str">
        <v>656</v>
      </c>
      <c r="U297" s="1" t="str">
        <v>115</v>
      </c>
      <c r="V297" s="1">
        <v>75440</v>
      </c>
      <c r="AH297" s="1" t="str">
        <v>597,268);) &gt;select()from()?)&lt;*</v>
      </c>
      <c r="AI297" s="1" t="str">
        <v>597,268</v>
      </c>
      <c r="AJ297" s="1" t="str">
        <v>597</v>
      </c>
      <c r="AK297" s="1" t="str">
        <v>268</v>
      </c>
      <c r="AL297" s="1">
        <v>159996</v>
      </c>
    </row>
    <row r="298" spans="4:38" x14ac:dyDescent="0.3">
      <c r="D298" s="2">
        <v>295</v>
      </c>
      <c r="E298" s="2">
        <f>SEARCH("mul",$C$4,E297+1)</f>
        <v>7241</v>
      </c>
      <c r="F298" s="2" t="str">
        <f>MID($C$4,E298,$F$1)</f>
        <v>mul(661$mul(576</v>
      </c>
      <c r="G298" s="3">
        <f>SEARCH("(",F298)</f>
        <v>4</v>
      </c>
      <c r="H298" s="3" t="e">
        <f>SEARCH(",",F298)</f>
        <v>#VALUE!</v>
      </c>
      <c r="I298" s="3" t="e">
        <f>SEARCH(")",F298)</f>
        <v>#VALUE!</v>
      </c>
      <c r="J298" s="2" t="str">
        <f>IF(OR(ISERROR(G298),ISERROR(H298),ISERROR(I298)),"CORRUPT!","")</f>
        <v>CORRUPT!</v>
      </c>
      <c r="K298" s="2" t="str">
        <f>IF(J298&lt;&gt;"","",MID(F298, G298+1, H298-G298-1))</f>
        <v/>
      </c>
      <c r="L298" s="2" t="str">
        <f>IF(J298&lt;&gt;"","",LEN(K298))</f>
        <v/>
      </c>
      <c r="M298" s="2" t="str">
        <f>IF(J298&lt;&gt;"","",MID(F298, H298+1, I298-H298-1))</f>
        <v/>
      </c>
      <c r="N298" s="2" t="str">
        <f>IF(J298&lt;&gt;"","",LEN(M298))</f>
        <v/>
      </c>
      <c r="O298" s="2" t="str">
        <f>IF(J298&lt;&gt;"","",K298*M298)</f>
        <v/>
      </c>
      <c r="R298" s="1" t="str">
        <v>61,600)how()~ how()#&amp;</v>
      </c>
      <c r="S298" s="1" t="str">
        <v>536,421</v>
      </c>
      <c r="T298" s="1" t="str">
        <v>536</v>
      </c>
      <c r="U298" s="1" t="str">
        <v>421</v>
      </c>
      <c r="V298" s="1">
        <v>225656</v>
      </c>
      <c r="AH298" s="1" t="str">
        <v>516,734)when()what()select()#$select()-?,$</v>
      </c>
      <c r="AI298" s="1" t="str">
        <v>516,734</v>
      </c>
      <c r="AJ298" s="1" t="str">
        <v>516</v>
      </c>
      <c r="AK298" s="1" t="str">
        <v>734</v>
      </c>
      <c r="AL298" s="1">
        <v>378744</v>
      </c>
    </row>
    <row r="299" spans="4:38" x14ac:dyDescent="0.3">
      <c r="D299" s="2">
        <v>296</v>
      </c>
      <c r="E299" s="2">
        <f>SEARCH("mul",$C$4,E298+1)</f>
        <v>7249</v>
      </c>
      <c r="F299" s="2" t="str">
        <f>MID($C$4,E299,$F$1)</f>
        <v>mul(576,422)!}*</v>
      </c>
      <c r="G299" s="3">
        <f>SEARCH("(",F299)</f>
        <v>4</v>
      </c>
      <c r="H299" s="3">
        <f>SEARCH(",",F299)</f>
        <v>8</v>
      </c>
      <c r="I299" s="3">
        <f>SEARCH(")",F299)</f>
        <v>12</v>
      </c>
      <c r="J299" s="2" t="str">
        <f>IF(OR(ISERROR(G299),ISERROR(H299),ISERROR(I299)),"CORRUPT!","")</f>
        <v/>
      </c>
      <c r="K299" s="2" t="str">
        <f>IF(J299&lt;&gt;"","",MID(F299, G299+1, H299-G299-1))</f>
        <v>576</v>
      </c>
      <c r="L299" s="2">
        <f>IF(J299&lt;&gt;"","",LEN(K299))</f>
        <v>3</v>
      </c>
      <c r="M299" s="2" t="str">
        <f>IF(J299&lt;&gt;"","",MID(F299, H299+1, I299-H299-1))</f>
        <v>422</v>
      </c>
      <c r="N299" s="2">
        <f>IF(J299&lt;&gt;"","",LEN(M299))</f>
        <v>3</v>
      </c>
      <c r="O299" s="2">
        <f>IF(J299&lt;&gt;"","",K299*M299)</f>
        <v>243072</v>
      </c>
      <c r="R299" s="1" t="str">
        <v>488,199)+})who()# @what()</v>
      </c>
      <c r="S299" s="1" t="str">
        <v>550,82</v>
      </c>
      <c r="T299" s="1" t="str">
        <v>550</v>
      </c>
      <c r="U299" s="1" t="str">
        <v>82</v>
      </c>
      <c r="V299" s="1">
        <v>45100</v>
      </c>
      <c r="AH299" s="1" t="str">
        <v>366,627)%*{</v>
      </c>
      <c r="AI299" s="1" t="str">
        <v>366,627</v>
      </c>
      <c r="AJ299" s="1" t="str">
        <v>366</v>
      </c>
      <c r="AK299" s="1" t="str">
        <v>627</v>
      </c>
      <c r="AL299" s="1">
        <v>229482</v>
      </c>
    </row>
    <row r="300" spans="4:38" x14ac:dyDescent="0.3">
      <c r="D300" s="2">
        <v>297</v>
      </c>
      <c r="E300" s="2">
        <f>SEARCH("mul",$C$4,E299+1)</f>
        <v>7264</v>
      </c>
      <c r="F300" s="2" t="str">
        <f>MID($C$4,E300,$F$1)</f>
        <v>mul(968,267)mul</v>
      </c>
      <c r="G300" s="3">
        <f>SEARCH("(",F300)</f>
        <v>4</v>
      </c>
      <c r="H300" s="3">
        <f>SEARCH(",",F300)</f>
        <v>8</v>
      </c>
      <c r="I300" s="3">
        <f>SEARCH(")",F300)</f>
        <v>12</v>
      </c>
      <c r="J300" s="2" t="str">
        <f>IF(OR(ISERROR(G300),ISERROR(H300),ISERROR(I300)),"CORRUPT!","")</f>
        <v/>
      </c>
      <c r="K300" s="2" t="str">
        <f>IF(J300&lt;&gt;"","",MID(F300, G300+1, H300-G300-1))</f>
        <v>968</v>
      </c>
      <c r="L300" s="2">
        <f>IF(J300&lt;&gt;"","",LEN(K300))</f>
        <v>3</v>
      </c>
      <c r="M300" s="2" t="str">
        <f>IF(J300&lt;&gt;"","",MID(F300, H300+1, I300-H300-1))</f>
        <v>267</v>
      </c>
      <c r="N300" s="2">
        <f>IF(J300&lt;&gt;"","",LEN(M300))</f>
        <v>3</v>
      </c>
      <c r="O300" s="2">
        <f>IF(J300&lt;&gt;"","",K300*M300)</f>
        <v>258456</v>
      </c>
      <c r="R300" s="1" t="str">
        <v>695,154)!{[don't()</v>
      </c>
      <c r="S300" s="1" t="str">
        <v>482,346</v>
      </c>
      <c r="T300" s="1" t="str">
        <v>482</v>
      </c>
      <c r="U300" s="1" t="str">
        <v>346</v>
      </c>
      <c r="V300" s="1">
        <v>166772</v>
      </c>
      <c r="AH300" s="1" t="str">
        <v>62,39)&lt;what()</v>
      </c>
      <c r="AI300" s="1" t="str">
        <v>62,39</v>
      </c>
      <c r="AJ300" s="1" t="str">
        <v>62</v>
      </c>
      <c r="AK300" s="1" t="str">
        <v>39</v>
      </c>
      <c r="AL300" s="1">
        <v>2418</v>
      </c>
    </row>
    <row r="301" spans="4:38" x14ac:dyDescent="0.3">
      <c r="D301" s="2">
        <v>298</v>
      </c>
      <c r="E301" s="2">
        <f>SEARCH("mul",$C$4,E300+1)</f>
        <v>7276</v>
      </c>
      <c r="F301" s="2" t="str">
        <f>MID($C$4,E301,$F$1)</f>
        <v>mul(501,251)&lt;[,</v>
      </c>
      <c r="G301" s="3">
        <f>SEARCH("(",F301)</f>
        <v>4</v>
      </c>
      <c r="H301" s="3">
        <f>SEARCH(",",F301)</f>
        <v>8</v>
      </c>
      <c r="I301" s="3">
        <f>SEARCH(")",F301)</f>
        <v>12</v>
      </c>
      <c r="J301" s="2" t="str">
        <f>IF(OR(ISERROR(G301),ISERROR(H301),ISERROR(I301)),"CORRUPT!","")</f>
        <v/>
      </c>
      <c r="K301" s="2" t="str">
        <f>IF(J301&lt;&gt;"","",MID(F301, G301+1, H301-G301-1))</f>
        <v>501</v>
      </c>
      <c r="L301" s="2">
        <f>IF(J301&lt;&gt;"","",LEN(K301))</f>
        <v>3</v>
      </c>
      <c r="M301" s="2" t="str">
        <f>IF(J301&lt;&gt;"","",MID(F301, H301+1, I301-H301-1))</f>
        <v>251</v>
      </c>
      <c r="N301" s="2">
        <f>IF(J301&lt;&gt;"","",LEN(M301))</f>
        <v>3</v>
      </c>
      <c r="O301" s="2">
        <f>IF(J301&lt;&gt;"","",K301*M301)</f>
        <v>125751</v>
      </c>
      <c r="R301" s="1" t="str">
        <v>454,729)what():(&lt;%</v>
      </c>
      <c r="S301" s="1" t="str">
        <v>189,780</v>
      </c>
      <c r="T301" s="1" t="str">
        <v>189</v>
      </c>
      <c r="U301" s="1" t="str">
        <v>780</v>
      </c>
      <c r="V301" s="1">
        <v>147420</v>
      </c>
      <c r="AH301" s="1" t="str">
        <v>511,35)</v>
      </c>
      <c r="AI301" s="1" t="str">
        <v>511,35</v>
      </c>
      <c r="AJ301" s="1" t="str">
        <v>511</v>
      </c>
      <c r="AK301" s="1" t="str">
        <v>35</v>
      </c>
      <c r="AL301" s="1">
        <v>17885</v>
      </c>
    </row>
    <row r="302" spans="4:38" x14ac:dyDescent="0.3">
      <c r="D302" s="2">
        <v>299</v>
      </c>
      <c r="E302" s="2">
        <f>SEARCH("mul",$C$4,E301+1)</f>
        <v>7291</v>
      </c>
      <c r="F302" s="2" t="str">
        <f>MID($C$4,E302,$F$1)</f>
        <v>mul(999-mul(61,</v>
      </c>
      <c r="G302" s="3">
        <f>SEARCH("(",F302)</f>
        <v>4</v>
      </c>
      <c r="H302" s="3">
        <f>SEARCH(",",F302)</f>
        <v>15</v>
      </c>
      <c r="I302" s="3" t="e">
        <f>SEARCH(")",F302)</f>
        <v>#VALUE!</v>
      </c>
      <c r="J302" s="2" t="str">
        <f>IF(OR(ISERROR(G302),ISERROR(H302),ISERROR(I302)),"CORRUPT!","")</f>
        <v>CORRUPT!</v>
      </c>
      <c r="K302" s="2" t="str">
        <f>IF(J302&lt;&gt;"","",MID(F302, G302+1, H302-G302-1))</f>
        <v/>
      </c>
      <c r="L302" s="2" t="str">
        <f>IF(J302&lt;&gt;"","",LEN(K302))</f>
        <v/>
      </c>
      <c r="M302" s="2" t="str">
        <f>IF(J302&lt;&gt;"","",MID(F302, H302+1, I302-H302-1))</f>
        <v/>
      </c>
      <c r="N302" s="2" t="str">
        <f>IF(J302&lt;&gt;"","",LEN(M302))</f>
        <v/>
      </c>
      <c r="O302" s="2" t="str">
        <f>IF(J302&lt;&gt;"","",K302*M302)</f>
        <v/>
      </c>
      <c r="R302" s="1" t="str">
        <v>656,115)from()!]when()when():?,</v>
      </c>
      <c r="S302" s="1" t="str">
        <v>638,986</v>
      </c>
      <c r="T302" s="1" t="str">
        <v>638</v>
      </c>
      <c r="U302" s="1" t="str">
        <v>986</v>
      </c>
      <c r="V302" s="1">
        <v>629068</v>
      </c>
      <c r="AH302" s="1" t="str">
        <v>879,156)-@]from()#select()</v>
      </c>
      <c r="AI302" s="1" t="str">
        <v>879,156</v>
      </c>
      <c r="AJ302" s="1" t="str">
        <v>879</v>
      </c>
      <c r="AK302" s="1" t="str">
        <v>156</v>
      </c>
      <c r="AL302" s="1">
        <v>137124</v>
      </c>
    </row>
    <row r="303" spans="4:38" x14ac:dyDescent="0.3">
      <c r="D303" s="2">
        <v>300</v>
      </c>
      <c r="E303" s="2">
        <f>SEARCH("mul",$C$4,E302+1)</f>
        <v>7299</v>
      </c>
      <c r="F303" s="2" t="str">
        <f>MID($C$4,E303,$F$1)</f>
        <v>mul(61,600)how(</v>
      </c>
      <c r="G303" s="3">
        <f>SEARCH("(",F303)</f>
        <v>4</v>
      </c>
      <c r="H303" s="3">
        <f>SEARCH(",",F303)</f>
        <v>7</v>
      </c>
      <c r="I303" s="3">
        <f>SEARCH(")",F303)</f>
        <v>11</v>
      </c>
      <c r="J303" s="2" t="str">
        <f>IF(OR(ISERROR(G303),ISERROR(H303),ISERROR(I303)),"CORRUPT!","")</f>
        <v/>
      </c>
      <c r="K303" s="2" t="str">
        <f>IF(J303&lt;&gt;"","",MID(F303, G303+1, H303-G303-1))</f>
        <v>61</v>
      </c>
      <c r="L303" s="2">
        <f>IF(J303&lt;&gt;"","",LEN(K303))</f>
        <v>2</v>
      </c>
      <c r="M303" s="2" t="str">
        <f>IF(J303&lt;&gt;"","",MID(F303, H303+1, I303-H303-1))</f>
        <v>600</v>
      </c>
      <c r="N303" s="2">
        <f>IF(J303&lt;&gt;"","",LEN(M303))</f>
        <v>3</v>
      </c>
      <c r="O303" s="2">
        <f>IF(J303&lt;&gt;"","",K303*M303)</f>
        <v>36600</v>
      </c>
      <c r="R303" s="1" t="str">
        <v>536,421)}select()when()&lt;</v>
      </c>
      <c r="S303" s="1" t="str">
        <v>131,393</v>
      </c>
      <c r="T303" s="1" t="str">
        <v>131</v>
      </c>
      <c r="U303" s="1" t="str">
        <v>393</v>
      </c>
      <c r="V303" s="1">
        <v>51483</v>
      </c>
      <c r="AH303" s="1" t="str">
        <v>247,306;!</v>
      </c>
      <c r="AI303" s="1" t="e">
        <v>#N/A</v>
      </c>
      <c r="AJ303" s="1" t="e">
        <v>#N/A</v>
      </c>
      <c r="AK303" s="1" t="e">
        <v>#N/A</v>
      </c>
      <c r="AL303" s="1">
        <v>0</v>
      </c>
    </row>
    <row r="304" spans="4:38" x14ac:dyDescent="0.3">
      <c r="D304" s="2">
        <v>301</v>
      </c>
      <c r="E304" s="2">
        <f>SEARCH("mul",$C$4,E303+1)</f>
        <v>7324</v>
      </c>
      <c r="F304" s="2" t="str">
        <f>MID($C$4,E304,$F$1)</f>
        <v>mul(488,199)+})</v>
      </c>
      <c r="G304" s="3">
        <f>SEARCH("(",F304)</f>
        <v>4</v>
      </c>
      <c r="H304" s="3">
        <f>SEARCH(",",F304)</f>
        <v>8</v>
      </c>
      <c r="I304" s="3">
        <f>SEARCH(")",F304)</f>
        <v>12</v>
      </c>
      <c r="J304" s="2" t="str">
        <f>IF(OR(ISERROR(G304),ISERROR(H304),ISERROR(I304)),"CORRUPT!","")</f>
        <v/>
      </c>
      <c r="K304" s="2" t="str">
        <f>IF(J304&lt;&gt;"","",MID(F304, G304+1, H304-G304-1))</f>
        <v>488</v>
      </c>
      <c r="L304" s="2">
        <f>IF(J304&lt;&gt;"","",LEN(K304))</f>
        <v>3</v>
      </c>
      <c r="M304" s="2" t="str">
        <f>IF(J304&lt;&gt;"","",MID(F304, H304+1, I304-H304-1))</f>
        <v>199</v>
      </c>
      <c r="N304" s="2">
        <f>IF(J304&lt;&gt;"","",LEN(M304))</f>
        <v>3</v>
      </c>
      <c r="O304" s="2">
        <f>IF(J304&lt;&gt;"","",K304*M304)</f>
        <v>97112</v>
      </c>
      <c r="R304" s="1" t="str">
        <v>550,82)(:</v>
      </c>
      <c r="S304" s="1" t="str">
        <v>856,729</v>
      </c>
      <c r="T304" s="1" t="str">
        <v>856</v>
      </c>
      <c r="U304" s="1" t="str">
        <v>729</v>
      </c>
      <c r="V304" s="1">
        <v>624024</v>
      </c>
      <c r="AH304" s="1" t="str">
        <v>183,347)&lt;</v>
      </c>
      <c r="AI304" s="1" t="str">
        <v>183,347</v>
      </c>
      <c r="AJ304" s="1" t="str">
        <v>183</v>
      </c>
      <c r="AK304" s="1" t="str">
        <v>347</v>
      </c>
      <c r="AL304" s="1">
        <v>63501</v>
      </c>
    </row>
    <row r="305" spans="4:38" x14ac:dyDescent="0.3">
      <c r="D305" s="2">
        <v>302</v>
      </c>
      <c r="E305" s="2">
        <f>SEARCH("mul",$C$4,E304+1)</f>
        <v>7353</v>
      </c>
      <c r="F305" s="2" t="str">
        <f>MID($C$4,E305,$F$1)</f>
        <v>mul(695,154)!{[</v>
      </c>
      <c r="G305" s="3">
        <f>SEARCH("(",F305)</f>
        <v>4</v>
      </c>
      <c r="H305" s="3">
        <f>SEARCH(",",F305)</f>
        <v>8</v>
      </c>
      <c r="I305" s="3">
        <f>SEARCH(")",F305)</f>
        <v>12</v>
      </c>
      <c r="J305" s="2" t="str">
        <f>IF(OR(ISERROR(G305),ISERROR(H305),ISERROR(I305)),"CORRUPT!","")</f>
        <v/>
      </c>
      <c r="K305" s="2" t="str">
        <f>IF(J305&lt;&gt;"","",MID(F305, G305+1, H305-G305-1))</f>
        <v>695</v>
      </c>
      <c r="L305" s="2">
        <f>IF(J305&lt;&gt;"","",LEN(K305))</f>
        <v>3</v>
      </c>
      <c r="M305" s="2" t="str">
        <f>IF(J305&lt;&gt;"","",MID(F305, H305+1, I305-H305-1))</f>
        <v>154</v>
      </c>
      <c r="N305" s="2">
        <f>IF(J305&lt;&gt;"","",LEN(M305))</f>
        <v>3</v>
      </c>
      <c r="O305" s="2">
        <f>IF(J305&lt;&gt;"","",K305*M305)</f>
        <v>107030</v>
      </c>
      <c r="R305" s="1" t="str">
        <v>482,346)}%when()&gt;+</v>
      </c>
      <c r="S305" s="1" t="str">
        <v>553,105</v>
      </c>
      <c r="T305" s="1" t="str">
        <v>553</v>
      </c>
      <c r="U305" s="1" t="str">
        <v>105</v>
      </c>
      <c r="V305" s="1">
        <v>58065</v>
      </c>
      <c r="AH305" s="1" t="str">
        <v>638,126)+&gt;^/$from()+</v>
      </c>
      <c r="AI305" s="1" t="str">
        <v>638,126</v>
      </c>
      <c r="AJ305" s="1" t="str">
        <v>638</v>
      </c>
      <c r="AK305" s="1" t="str">
        <v>126</v>
      </c>
      <c r="AL305" s="1">
        <v>80388</v>
      </c>
    </row>
    <row r="306" spans="4:38" x14ac:dyDescent="0.3">
      <c r="D306" s="2">
        <v>303</v>
      </c>
      <c r="E306" s="2">
        <f>SEARCH("mul",$C$4,E305+1)</f>
        <v>7375</v>
      </c>
      <c r="F306" s="2" t="str">
        <f>MID($C$4,E306,$F$1)</f>
        <v>mul(454,729)wha</v>
      </c>
      <c r="G306" s="3">
        <f>SEARCH("(",F306)</f>
        <v>4</v>
      </c>
      <c r="H306" s="3">
        <f>SEARCH(",",F306)</f>
        <v>8</v>
      </c>
      <c r="I306" s="3">
        <f>SEARCH(")",F306)</f>
        <v>12</v>
      </c>
      <c r="J306" s="2" t="str">
        <f>IF(OR(ISERROR(G306),ISERROR(H306),ISERROR(I306)),"CORRUPT!","")</f>
        <v/>
      </c>
      <c r="K306" s="2" t="str">
        <f>IF(J306&lt;&gt;"","",MID(F306, G306+1, H306-G306-1))</f>
        <v>454</v>
      </c>
      <c r="L306" s="2">
        <f>IF(J306&lt;&gt;"","",LEN(K306))</f>
        <v>3</v>
      </c>
      <c r="M306" s="2" t="str">
        <f>IF(J306&lt;&gt;"","",MID(F306, H306+1, I306-H306-1))</f>
        <v>729</v>
      </c>
      <c r="N306" s="2">
        <f>IF(J306&lt;&gt;"","",LEN(M306))</f>
        <v>3</v>
      </c>
      <c r="O306" s="2">
        <f>IF(J306&lt;&gt;"","",K306*M306)</f>
        <v>330966</v>
      </c>
      <c r="R306" s="1" t="str">
        <v>189,780)from()how()#&lt; ^don't()why()&amp;who()where(){ &gt;:</v>
      </c>
      <c r="S306" s="1" t="str">
        <v>780,579</v>
      </c>
      <c r="T306" s="1" t="str">
        <v>780</v>
      </c>
      <c r="U306" s="1" t="str">
        <v>579</v>
      </c>
      <c r="V306" s="1">
        <v>451620</v>
      </c>
      <c r="AH306" s="1" t="str">
        <v>250+~select()!from(){</v>
      </c>
      <c r="AI306" s="1" t="str">
        <v>250+~select(</v>
      </c>
      <c r="AJ306" s="1" t="e">
        <v>#N/A</v>
      </c>
      <c r="AK306" s="1" t="e">
        <v>#N/A</v>
      </c>
      <c r="AL306" s="1">
        <v>0</v>
      </c>
    </row>
    <row r="307" spans="4:38" x14ac:dyDescent="0.3">
      <c r="D307" s="2">
        <v>304</v>
      </c>
      <c r="E307" s="2">
        <f>SEARCH("mul",$C$4,E306+1)</f>
        <v>7397</v>
      </c>
      <c r="F307" s="2" t="str">
        <f>MID($C$4,E307,$F$1)</f>
        <v>mul(656,115)fro</v>
      </c>
      <c r="G307" s="3">
        <f>SEARCH("(",F307)</f>
        <v>4</v>
      </c>
      <c r="H307" s="3">
        <f>SEARCH(",",F307)</f>
        <v>8</v>
      </c>
      <c r="I307" s="3">
        <f>SEARCH(")",F307)</f>
        <v>12</v>
      </c>
      <c r="J307" s="2" t="str">
        <f>IF(OR(ISERROR(G307),ISERROR(H307),ISERROR(I307)),"CORRUPT!","")</f>
        <v/>
      </c>
      <c r="K307" s="2" t="str">
        <f>IF(J307&lt;&gt;"","",MID(F307, G307+1, H307-G307-1))</f>
        <v>656</v>
      </c>
      <c r="L307" s="2">
        <f>IF(J307&lt;&gt;"","",LEN(K307))</f>
        <v>3</v>
      </c>
      <c r="M307" s="2" t="str">
        <f>IF(J307&lt;&gt;"","",MID(F307, H307+1, I307-H307-1))</f>
        <v>115</v>
      </c>
      <c r="N307" s="2">
        <f>IF(J307&lt;&gt;"","",LEN(M307))</f>
        <v>3</v>
      </c>
      <c r="O307" s="2">
        <f>IF(J307&lt;&gt;"","",K307*M307)</f>
        <v>75440</v>
      </c>
      <c r="R307" s="1" t="str">
        <v>638,986)*+&lt; ;</v>
      </c>
      <c r="S307" s="1" t="str">
        <v>811,393</v>
      </c>
      <c r="T307" s="1" t="str">
        <v>811</v>
      </c>
      <c r="U307" s="1" t="str">
        <v>393</v>
      </c>
      <c r="V307" s="1">
        <v>318723</v>
      </c>
      <c r="AH307" s="1" t="str">
        <v>981,151)#}</v>
      </c>
      <c r="AI307" s="1" t="str">
        <v>981,151</v>
      </c>
      <c r="AJ307" s="1" t="str">
        <v>981</v>
      </c>
      <c r="AK307" s="1" t="str">
        <v>151</v>
      </c>
      <c r="AL307" s="1">
        <v>148131</v>
      </c>
    </row>
    <row r="308" spans="4:38" x14ac:dyDescent="0.3">
      <c r="D308" s="2">
        <v>305</v>
      </c>
      <c r="E308" s="2">
        <f>SEARCH("mul",$C$4,E307+1)</f>
        <v>7432</v>
      </c>
      <c r="F308" s="2" t="str">
        <f>MID($C$4,E308,$F$1)</f>
        <v>mul(536,421)}se</v>
      </c>
      <c r="G308" s="3">
        <f>SEARCH("(",F308)</f>
        <v>4</v>
      </c>
      <c r="H308" s="3">
        <f>SEARCH(",",F308)</f>
        <v>8</v>
      </c>
      <c r="I308" s="3">
        <f>SEARCH(")",F308)</f>
        <v>12</v>
      </c>
      <c r="J308" s="2" t="str">
        <f>IF(OR(ISERROR(G308),ISERROR(H308),ISERROR(I308)),"CORRUPT!","")</f>
        <v/>
      </c>
      <c r="K308" s="2" t="str">
        <f>IF(J308&lt;&gt;"","",MID(F308, G308+1, H308-G308-1))</f>
        <v>536</v>
      </c>
      <c r="L308" s="2">
        <f>IF(J308&lt;&gt;"","",LEN(K308))</f>
        <v>3</v>
      </c>
      <c r="M308" s="2" t="str">
        <f>IF(J308&lt;&gt;"","",MID(F308, H308+1, I308-H308-1))</f>
        <v>421</v>
      </c>
      <c r="N308" s="2">
        <f>IF(J308&lt;&gt;"","",LEN(M308))</f>
        <v>3</v>
      </c>
      <c r="O308" s="2">
        <f>IF(J308&lt;&gt;"","",K308*M308)</f>
        <v>225656</v>
      </c>
      <c r="R308" s="1" t="str">
        <v>131,393),how(419,400)*@how()</v>
      </c>
      <c r="S308" s="1" t="str">
        <v>530,118</v>
      </c>
      <c r="T308" s="1" t="str">
        <v>530</v>
      </c>
      <c r="U308" s="1" t="str">
        <v>118</v>
      </c>
      <c r="V308" s="1">
        <v>62540</v>
      </c>
      <c r="AH308" s="1" t="str">
        <v>92,876))how()who(363,963)</v>
      </c>
      <c r="AI308" s="1" t="str">
        <v>92,876</v>
      </c>
      <c r="AJ308" s="1" t="str">
        <v>92</v>
      </c>
      <c r="AK308" s="1" t="str">
        <v>876</v>
      </c>
      <c r="AL308" s="1">
        <v>80592</v>
      </c>
    </row>
    <row r="309" spans="4:38" x14ac:dyDescent="0.3">
      <c r="D309" s="2">
        <v>306</v>
      </c>
      <c r="E309" s="2">
        <f>SEARCH("mul",$C$4,E308+1)</f>
        <v>7460</v>
      </c>
      <c r="F309" s="2" t="str">
        <f>MID($C$4,E309,$F$1)</f>
        <v>mul(550,82)(:mu</v>
      </c>
      <c r="G309" s="3">
        <f>SEARCH("(",F309)</f>
        <v>4</v>
      </c>
      <c r="H309" s="3">
        <f>SEARCH(",",F309)</f>
        <v>8</v>
      </c>
      <c r="I309" s="3">
        <f>SEARCH(")",F309)</f>
        <v>11</v>
      </c>
      <c r="J309" s="2" t="str">
        <f>IF(OR(ISERROR(G309),ISERROR(H309),ISERROR(I309)),"CORRUPT!","")</f>
        <v/>
      </c>
      <c r="K309" s="2" t="str">
        <f>IF(J309&lt;&gt;"","",MID(F309, G309+1, H309-G309-1))</f>
        <v>550</v>
      </c>
      <c r="L309" s="2">
        <f>IF(J309&lt;&gt;"","",LEN(K309))</f>
        <v>3</v>
      </c>
      <c r="M309" s="2" t="str">
        <f>IF(J309&lt;&gt;"","",MID(F309, H309+1, I309-H309-1))</f>
        <v>82</v>
      </c>
      <c r="N309" s="2">
        <f>IF(J309&lt;&gt;"","",LEN(M309))</f>
        <v>2</v>
      </c>
      <c r="O309" s="2">
        <f>IF(J309&lt;&gt;"","",K309*M309)</f>
        <v>45100</v>
      </c>
      <c r="R309" s="1" t="str">
        <v>856,729)who()$$[$[select()~&lt;</v>
      </c>
      <c r="S309" s="1" t="str">
        <v>640,727</v>
      </c>
      <c r="T309" s="1" t="str">
        <v>640</v>
      </c>
      <c r="U309" s="1" t="str">
        <v>727</v>
      </c>
      <c r="V309" s="1">
        <v>465280</v>
      </c>
      <c r="AH309" s="1" t="str">
        <v>827,341)::how()~&amp;</v>
      </c>
      <c r="AI309" s="1" t="str">
        <v>827,341</v>
      </c>
      <c r="AJ309" s="1" t="str">
        <v>827</v>
      </c>
      <c r="AK309" s="1" t="str">
        <v>341</v>
      </c>
      <c r="AL309" s="1">
        <v>282007</v>
      </c>
    </row>
    <row r="310" spans="4:38" x14ac:dyDescent="0.3">
      <c r="D310" s="2">
        <v>307</v>
      </c>
      <c r="E310" s="2">
        <f>SEARCH("mul",$C$4,E309+1)</f>
        <v>7473</v>
      </c>
      <c r="F310" s="2" t="str">
        <f>MID($C$4,E310,$F$1)</f>
        <v>mul(482,346)}%w</v>
      </c>
      <c r="G310" s="3">
        <f>SEARCH("(",F310)</f>
        <v>4</v>
      </c>
      <c r="H310" s="3">
        <f>SEARCH(",",F310)</f>
        <v>8</v>
      </c>
      <c r="I310" s="3">
        <f>SEARCH(")",F310)</f>
        <v>12</v>
      </c>
      <c r="J310" s="2" t="str">
        <f>IF(OR(ISERROR(G310),ISERROR(H310),ISERROR(I310)),"CORRUPT!","")</f>
        <v/>
      </c>
      <c r="K310" s="2" t="str">
        <f>IF(J310&lt;&gt;"","",MID(F310, G310+1, H310-G310-1))</f>
        <v>482</v>
      </c>
      <c r="L310" s="2">
        <f>IF(J310&lt;&gt;"","",LEN(K310))</f>
        <v>3</v>
      </c>
      <c r="M310" s="2" t="str">
        <f>IF(J310&lt;&gt;"","",MID(F310, H310+1, I310-H310-1))</f>
        <v>346</v>
      </c>
      <c r="N310" s="2">
        <f>IF(J310&lt;&gt;"","",LEN(M310))</f>
        <v>3</v>
      </c>
      <c r="O310" s="2">
        <f>IF(J310&lt;&gt;"","",K310*M310)</f>
        <v>166772</v>
      </c>
      <c r="R310" s="1" t="str">
        <v>553,105)why(720,700)']</v>
      </c>
      <c r="S310" s="1" t="str">
        <v>124,151</v>
      </c>
      <c r="T310" s="1" t="str">
        <v>124</v>
      </c>
      <c r="U310" s="1" t="str">
        <v>151</v>
      </c>
      <c r="V310" s="1">
        <v>18724</v>
      </c>
      <c r="AH310" s="1" t="str">
        <v>407,705)#+&gt;</v>
      </c>
      <c r="AI310" s="1" t="str">
        <v>407,705</v>
      </c>
      <c r="AJ310" s="1" t="str">
        <v>407</v>
      </c>
      <c r="AK310" s="1" t="str">
        <v>705</v>
      </c>
      <c r="AL310" s="1">
        <v>286935</v>
      </c>
    </row>
    <row r="311" spans="4:38" x14ac:dyDescent="0.3">
      <c r="D311" s="2">
        <v>308</v>
      </c>
      <c r="E311" s="2">
        <f>SEARCH("mul",$C$4,E310+1)</f>
        <v>7495</v>
      </c>
      <c r="F311" s="2" t="str">
        <f>MID($C$4,E311,$F$1)</f>
        <v>mul(189,780)fro</v>
      </c>
      <c r="G311" s="3">
        <f>SEARCH("(",F311)</f>
        <v>4</v>
      </c>
      <c r="H311" s="3">
        <f>SEARCH(",",F311)</f>
        <v>8</v>
      </c>
      <c r="I311" s="3">
        <f>SEARCH(")",F311)</f>
        <v>12</v>
      </c>
      <c r="J311" s="2" t="str">
        <f>IF(OR(ISERROR(G311),ISERROR(H311),ISERROR(I311)),"CORRUPT!","")</f>
        <v/>
      </c>
      <c r="K311" s="2" t="str">
        <f>IF(J311&lt;&gt;"","",MID(F311, G311+1, H311-G311-1))</f>
        <v>189</v>
      </c>
      <c r="L311" s="2">
        <f>IF(J311&lt;&gt;"","",LEN(K311))</f>
        <v>3</v>
      </c>
      <c r="M311" s="2" t="str">
        <f>IF(J311&lt;&gt;"","",MID(F311, H311+1, I311-H311-1))</f>
        <v>780</v>
      </c>
      <c r="N311" s="2">
        <f>IF(J311&lt;&gt;"","",LEN(M311))</f>
        <v>3</v>
      </c>
      <c r="O311" s="2">
        <f>IF(J311&lt;&gt;"","",K311*M311)</f>
        <v>147420</v>
      </c>
      <c r="R311" s="1" t="str">
        <v>780,579)}what()select()who()~//}^</v>
      </c>
      <c r="S311" s="1" t="str">
        <v>523,641</v>
      </c>
      <c r="T311" s="1" t="str">
        <v>523</v>
      </c>
      <c r="U311" s="1" t="str">
        <v>641</v>
      </c>
      <c r="V311" s="1">
        <v>335243</v>
      </c>
      <c r="AH311" s="1" t="str">
        <v>576,849)</v>
      </c>
      <c r="AI311" s="1" t="str">
        <v>576,849</v>
      </c>
      <c r="AJ311" s="1" t="str">
        <v>576</v>
      </c>
      <c r="AK311" s="1" t="str">
        <v>849</v>
      </c>
      <c r="AL311" s="1">
        <v>489024</v>
      </c>
    </row>
    <row r="312" spans="4:38" x14ac:dyDescent="0.3">
      <c r="D312" s="2">
        <v>309</v>
      </c>
      <c r="E312" s="2">
        <f>SEARCH("mul",$C$4,E311+1)</f>
        <v>7551</v>
      </c>
      <c r="F312" s="2" t="str">
        <f>MID($C$4,E312,$F$1)</f>
        <v>mul(638,986)*+&lt;</v>
      </c>
      <c r="G312" s="3">
        <f>SEARCH("(",F312)</f>
        <v>4</v>
      </c>
      <c r="H312" s="3">
        <f>SEARCH(",",F312)</f>
        <v>8</v>
      </c>
      <c r="I312" s="3">
        <f>SEARCH(")",F312)</f>
        <v>12</v>
      </c>
      <c r="J312" s="2" t="str">
        <f>IF(OR(ISERROR(G312),ISERROR(H312),ISERROR(I312)),"CORRUPT!","")</f>
        <v/>
      </c>
      <c r="K312" s="2" t="str">
        <f>IF(J312&lt;&gt;"","",MID(F312, G312+1, H312-G312-1))</f>
        <v>638</v>
      </c>
      <c r="L312" s="2">
        <f>IF(J312&lt;&gt;"","",LEN(K312))</f>
        <v>3</v>
      </c>
      <c r="M312" s="2" t="str">
        <f>IF(J312&lt;&gt;"","",MID(F312, H312+1, I312-H312-1))</f>
        <v>986</v>
      </c>
      <c r="N312" s="2">
        <f>IF(J312&lt;&gt;"","",LEN(M312))</f>
        <v>3</v>
      </c>
      <c r="O312" s="2">
        <f>IF(J312&lt;&gt;"","",K312*M312)</f>
        <v>629068</v>
      </c>
      <c r="R312" s="1" t="str">
        <v>811,393))/&lt;#,</v>
      </c>
      <c r="S312" s="1" t="str">
        <v>70,234</v>
      </c>
      <c r="T312" s="1" t="str">
        <v>70</v>
      </c>
      <c r="U312" s="1" t="str">
        <v>234</v>
      </c>
      <c r="V312" s="1">
        <v>16380</v>
      </c>
      <c r="AH312" s="1" t="str">
        <v>482,236)(^* who(),what()</v>
      </c>
      <c r="AI312" s="1" t="str">
        <v>482,236</v>
      </c>
      <c r="AJ312" s="1" t="str">
        <v>482</v>
      </c>
      <c r="AK312" s="1" t="str">
        <v>236</v>
      </c>
      <c r="AL312" s="1">
        <v>113752</v>
      </c>
    </row>
    <row r="313" spans="4:38" x14ac:dyDescent="0.3">
      <c r="D313" s="2">
        <v>310</v>
      </c>
      <c r="E313" s="2">
        <f>SEARCH("mul",$C$4,E312+1)</f>
        <v>7568</v>
      </c>
      <c r="F313" s="2" t="str">
        <f>MID($C$4,E313,$F$1)</f>
        <v>mul(131,393),ho</v>
      </c>
      <c r="G313" s="3">
        <f>SEARCH("(",F313)</f>
        <v>4</v>
      </c>
      <c r="H313" s="3">
        <f>SEARCH(",",F313)</f>
        <v>8</v>
      </c>
      <c r="I313" s="3">
        <f>SEARCH(")",F313)</f>
        <v>12</v>
      </c>
      <c r="J313" s="2" t="str">
        <f>IF(OR(ISERROR(G313),ISERROR(H313),ISERROR(I313)),"CORRUPT!","")</f>
        <v/>
      </c>
      <c r="K313" s="2" t="str">
        <f>IF(J313&lt;&gt;"","",MID(F313, G313+1, H313-G313-1))</f>
        <v>131</v>
      </c>
      <c r="L313" s="2">
        <f>IF(J313&lt;&gt;"","",LEN(K313))</f>
        <v>3</v>
      </c>
      <c r="M313" s="2" t="str">
        <f>IF(J313&lt;&gt;"","",MID(F313, H313+1, I313-H313-1))</f>
        <v>393</v>
      </c>
      <c r="N313" s="2">
        <f>IF(J313&lt;&gt;"","",LEN(M313))</f>
        <v>3</v>
      </c>
      <c r="O313" s="2">
        <f>IF(J313&lt;&gt;"","",K313*M313)</f>
        <v>51483</v>
      </c>
      <c r="R313" s="1" t="str">
        <v>530,118)@'%&lt;~</v>
      </c>
      <c r="S313" s="1" t="str">
        <v>589,488</v>
      </c>
      <c r="T313" s="1" t="str">
        <v>589</v>
      </c>
      <c r="U313" s="1" t="str">
        <v>488</v>
      </c>
      <c r="V313" s="1">
        <v>287432</v>
      </c>
      <c r="AH313" s="1" t="str">
        <v>544%who()('&gt;*!$@,}</v>
      </c>
      <c r="AI313" s="1" t="str">
        <v>544%who(</v>
      </c>
      <c r="AJ313" s="1" t="e">
        <v>#N/A</v>
      </c>
      <c r="AK313" s="1" t="e">
        <v>#N/A</v>
      </c>
      <c r="AL313" s="1">
        <v>0</v>
      </c>
    </row>
    <row r="314" spans="4:38" x14ac:dyDescent="0.3">
      <c r="D314" s="2">
        <v>311</v>
      </c>
      <c r="E314" s="2">
        <f>SEARCH("mul",$C$4,E313+1)</f>
        <v>7600</v>
      </c>
      <c r="F314" s="2" t="str">
        <f>MID($C$4,E314,$F$1)</f>
        <v>mul(856,729)who</v>
      </c>
      <c r="G314" s="3">
        <f>SEARCH("(",F314)</f>
        <v>4</v>
      </c>
      <c r="H314" s="3">
        <f>SEARCH(",",F314)</f>
        <v>8</v>
      </c>
      <c r="I314" s="3">
        <f>SEARCH(")",F314)</f>
        <v>12</v>
      </c>
      <c r="J314" s="2" t="str">
        <f>IF(OR(ISERROR(G314),ISERROR(H314),ISERROR(I314)),"CORRUPT!","")</f>
        <v/>
      </c>
      <c r="K314" s="2" t="str">
        <f>IF(J314&lt;&gt;"","",MID(F314, G314+1, H314-G314-1))</f>
        <v>856</v>
      </c>
      <c r="L314" s="2">
        <f>IF(J314&lt;&gt;"","",LEN(K314))</f>
        <v>3</v>
      </c>
      <c r="M314" s="2" t="str">
        <f>IF(J314&lt;&gt;"","",MID(F314, H314+1, I314-H314-1))</f>
        <v>729</v>
      </c>
      <c r="N314" s="2">
        <f>IF(J314&lt;&gt;"","",LEN(M314))</f>
        <v>3</v>
      </c>
      <c r="O314" s="2">
        <f>IF(J314&lt;&gt;"","",K314*M314)</f>
        <v>624024</v>
      </c>
      <c r="R314" s="1" t="str">
        <v>640,727)'-]:-:]+</v>
      </c>
      <c r="S314" s="1" t="str">
        <v>66,473</v>
      </c>
      <c r="T314" s="1" t="str">
        <v>66</v>
      </c>
      <c r="U314" s="1" t="str">
        <v>473</v>
      </c>
      <c r="V314" s="1">
        <v>31218</v>
      </c>
      <c r="AH314" s="1" t="str">
        <v>113,286)when()'from(685,677)why()select(645,338):why(840,833)+#</v>
      </c>
      <c r="AI314" s="1" t="str">
        <v>113,286</v>
      </c>
      <c r="AJ314" s="1" t="str">
        <v>113</v>
      </c>
      <c r="AK314" s="1" t="str">
        <v>286</v>
      </c>
      <c r="AL314" s="1">
        <v>32318</v>
      </c>
    </row>
    <row r="315" spans="4:38" x14ac:dyDescent="0.3">
      <c r="D315" s="2">
        <v>312</v>
      </c>
      <c r="E315" s="2">
        <f>SEARCH("mul",$C$4,E314+1)</f>
        <v>7632</v>
      </c>
      <c r="F315" s="2" t="str">
        <f>MID($C$4,E315,$F$1)</f>
        <v>mul(553,105)why</v>
      </c>
      <c r="G315" s="3">
        <f>SEARCH("(",F315)</f>
        <v>4</v>
      </c>
      <c r="H315" s="3">
        <f>SEARCH(",",F315)</f>
        <v>8</v>
      </c>
      <c r="I315" s="3">
        <f>SEARCH(")",F315)</f>
        <v>12</v>
      </c>
      <c r="J315" s="2" t="str">
        <f>IF(OR(ISERROR(G315),ISERROR(H315),ISERROR(I315)),"CORRUPT!","")</f>
        <v/>
      </c>
      <c r="K315" s="2" t="str">
        <f>IF(J315&lt;&gt;"","",MID(F315, G315+1, H315-G315-1))</f>
        <v>553</v>
      </c>
      <c r="L315" s="2">
        <f>IF(J315&lt;&gt;"","",LEN(K315))</f>
        <v>3</v>
      </c>
      <c r="M315" s="2" t="str">
        <f>IF(J315&lt;&gt;"","",MID(F315, H315+1, I315-H315-1))</f>
        <v>105</v>
      </c>
      <c r="N315" s="2">
        <f>IF(J315&lt;&gt;"","",LEN(M315))</f>
        <v>3</v>
      </c>
      <c r="O315" s="2">
        <f>IF(J315&lt;&gt;"","",K315*M315)</f>
        <v>58065</v>
      </c>
      <c r="R315" s="1" t="str">
        <v>124,151)~@{why()@/why()</v>
      </c>
      <c r="S315" s="1" t="str">
        <v>417,212</v>
      </c>
      <c r="T315" s="1" t="str">
        <v>417</v>
      </c>
      <c r="U315" s="1" t="str">
        <v>212</v>
      </c>
      <c r="V315" s="1">
        <v>88404</v>
      </c>
      <c r="AH315" s="1" t="str">
        <v>874,529)}&gt;what()select()why()</v>
      </c>
      <c r="AI315" s="1" t="str">
        <v>874,529</v>
      </c>
      <c r="AJ315" s="1" t="str">
        <v>874</v>
      </c>
      <c r="AK315" s="1" t="str">
        <v>529</v>
      </c>
      <c r="AL315" s="1">
        <v>462346</v>
      </c>
    </row>
    <row r="316" spans="4:38" x14ac:dyDescent="0.3">
      <c r="D316" s="2">
        <v>313</v>
      </c>
      <c r="E316" s="2">
        <f>SEARCH("mul",$C$4,E315+1)</f>
        <v>7658</v>
      </c>
      <c r="F316" s="2" t="str">
        <f>MID($C$4,E316,$F$1)</f>
        <v>mul(780,579)}wh</v>
      </c>
      <c r="G316" s="3">
        <f>SEARCH("(",F316)</f>
        <v>4</v>
      </c>
      <c r="H316" s="3">
        <f>SEARCH(",",F316)</f>
        <v>8</v>
      </c>
      <c r="I316" s="3">
        <f>SEARCH(")",F316)</f>
        <v>12</v>
      </c>
      <c r="J316" s="2" t="str">
        <f>IF(OR(ISERROR(G316),ISERROR(H316),ISERROR(I316)),"CORRUPT!","")</f>
        <v/>
      </c>
      <c r="K316" s="2" t="str">
        <f>IF(J316&lt;&gt;"","",MID(F316, G316+1, H316-G316-1))</f>
        <v>780</v>
      </c>
      <c r="L316" s="2">
        <f>IF(J316&lt;&gt;"","",LEN(K316))</f>
        <v>3</v>
      </c>
      <c r="M316" s="2" t="str">
        <f>IF(J316&lt;&gt;"","",MID(F316, H316+1, I316-H316-1))</f>
        <v>579</v>
      </c>
      <c r="N316" s="2">
        <f>IF(J316&lt;&gt;"","",LEN(M316))</f>
        <v>3</v>
      </c>
      <c r="O316" s="2">
        <f>IF(J316&lt;&gt;"","",K316*M316)</f>
        <v>451620</v>
      </c>
      <c r="R316" s="1" t="str">
        <v>523,641)'%select())/</v>
      </c>
      <c r="S316" s="1" t="str">
        <v>613,175</v>
      </c>
      <c r="T316" s="1" t="str">
        <v>613</v>
      </c>
      <c r="U316" s="1" t="str">
        <v>175</v>
      </c>
      <c r="V316" s="1">
        <v>107275</v>
      </c>
      <c r="AH316" s="1" t="str">
        <v>168,89)}{*when()}+what();&amp;/)?&gt;~</v>
      </c>
      <c r="AI316" s="1" t="str">
        <v>168,89</v>
      </c>
      <c r="AJ316" s="1" t="str">
        <v>168</v>
      </c>
      <c r="AK316" s="1" t="str">
        <v>89</v>
      </c>
      <c r="AL316" s="1">
        <v>14952</v>
      </c>
    </row>
    <row r="317" spans="4:38" x14ac:dyDescent="0.3">
      <c r="D317" s="2">
        <v>314</v>
      </c>
      <c r="E317" s="2">
        <f>SEARCH("mul",$C$4,E316+1)</f>
        <v>7695</v>
      </c>
      <c r="F317" s="2" t="str">
        <f>MID($C$4,E317,$F$1)</f>
        <v>mul(811,393))/&lt;</v>
      </c>
      <c r="G317" s="3">
        <f>SEARCH("(",F317)</f>
        <v>4</v>
      </c>
      <c r="H317" s="3">
        <f>SEARCH(",",F317)</f>
        <v>8</v>
      </c>
      <c r="I317" s="3">
        <f>SEARCH(")",F317)</f>
        <v>12</v>
      </c>
      <c r="J317" s="2" t="str">
        <f>IF(OR(ISERROR(G317),ISERROR(H317),ISERROR(I317)),"CORRUPT!","")</f>
        <v/>
      </c>
      <c r="K317" s="2" t="str">
        <f>IF(J317&lt;&gt;"","",MID(F317, G317+1, H317-G317-1))</f>
        <v>811</v>
      </c>
      <c r="L317" s="2">
        <f>IF(J317&lt;&gt;"","",LEN(K317))</f>
        <v>3</v>
      </c>
      <c r="M317" s="2" t="str">
        <f>IF(J317&lt;&gt;"","",MID(F317, H317+1, I317-H317-1))</f>
        <v>393</v>
      </c>
      <c r="N317" s="2">
        <f>IF(J317&lt;&gt;"","",LEN(M317))</f>
        <v>3</v>
      </c>
      <c r="O317" s="2">
        <f>IF(J317&lt;&gt;"","",K317*M317)</f>
        <v>318723</v>
      </c>
      <c r="R317" s="1" t="str">
        <v>70,234)-$#</v>
      </c>
      <c r="S317" s="1" t="str">
        <v>503,337</v>
      </c>
      <c r="T317" s="1" t="str">
        <v>503</v>
      </c>
      <c r="U317" s="1" t="str">
        <v>337</v>
      </c>
      <c r="V317" s="1">
        <v>169511</v>
      </c>
      <c r="AH317" s="1" t="str">
        <v>464,153)why(166,536)&lt;/</v>
      </c>
      <c r="AI317" s="1" t="str">
        <v>464,153</v>
      </c>
      <c r="AJ317" s="1" t="str">
        <v>464</v>
      </c>
      <c r="AK317" s="1" t="str">
        <v>153</v>
      </c>
      <c r="AL317" s="1">
        <v>70992</v>
      </c>
    </row>
    <row r="318" spans="4:38" x14ac:dyDescent="0.3">
      <c r="D318" s="2">
        <v>315</v>
      </c>
      <c r="E318" s="2">
        <f>SEARCH("mul",$C$4,E317+1)</f>
        <v>7712</v>
      </c>
      <c r="F318" s="2" t="str">
        <f>MID($C$4,E318,$F$1)</f>
        <v>mul(530,118)@'%</v>
      </c>
      <c r="G318" s="3">
        <f>SEARCH("(",F318)</f>
        <v>4</v>
      </c>
      <c r="H318" s="3">
        <f>SEARCH(",",F318)</f>
        <v>8</v>
      </c>
      <c r="I318" s="3">
        <f>SEARCH(")",F318)</f>
        <v>12</v>
      </c>
      <c r="J318" s="2" t="str">
        <f>IF(OR(ISERROR(G318),ISERROR(H318),ISERROR(I318)),"CORRUPT!","")</f>
        <v/>
      </c>
      <c r="K318" s="2" t="str">
        <f>IF(J318&lt;&gt;"","",MID(F318, G318+1, H318-G318-1))</f>
        <v>530</v>
      </c>
      <c r="L318" s="2">
        <f>IF(J318&lt;&gt;"","",LEN(K318))</f>
        <v>3</v>
      </c>
      <c r="M318" s="2" t="str">
        <f>IF(J318&lt;&gt;"","",MID(F318, H318+1, I318-H318-1))</f>
        <v>118</v>
      </c>
      <c r="N318" s="2">
        <f>IF(J318&lt;&gt;"","",LEN(M318))</f>
        <v>3</v>
      </c>
      <c r="O318" s="2">
        <f>IF(J318&lt;&gt;"","",K318*M318)</f>
        <v>62540</v>
      </c>
      <c r="R318" s="1" t="str">
        <v>589,488)^:how()(when()</v>
      </c>
      <c r="S318" s="1" t="str">
        <v>709,759</v>
      </c>
      <c r="T318" s="1" t="str">
        <v>709</v>
      </c>
      <c r="U318" s="1" t="str">
        <v>759</v>
      </c>
      <c r="V318" s="1">
        <v>538131</v>
      </c>
      <c r="AH318" s="1" t="str">
        <v>893,554)when()what(){how()&amp;how()</v>
      </c>
      <c r="AI318" s="1" t="str">
        <v>893,554</v>
      </c>
      <c r="AJ318" s="1" t="str">
        <v>893</v>
      </c>
      <c r="AK318" s="1" t="str">
        <v>554</v>
      </c>
      <c r="AL318" s="1">
        <v>494722</v>
      </c>
    </row>
    <row r="319" spans="4:38" x14ac:dyDescent="0.3">
      <c r="D319" s="2">
        <v>316</v>
      </c>
      <c r="E319" s="2">
        <f>SEARCH("mul",$C$4,E318+1)</f>
        <v>7729</v>
      </c>
      <c r="F319" s="2" t="str">
        <f>MID($C$4,E319,$F$1)</f>
        <v>mul(640,727)'-]</v>
      </c>
      <c r="G319" s="3">
        <f>SEARCH("(",F319)</f>
        <v>4</v>
      </c>
      <c r="H319" s="3">
        <f>SEARCH(",",F319)</f>
        <v>8</v>
      </c>
      <c r="I319" s="3">
        <f>SEARCH(")",F319)</f>
        <v>12</v>
      </c>
      <c r="J319" s="2" t="str">
        <f>IF(OR(ISERROR(G319),ISERROR(H319),ISERROR(I319)),"CORRUPT!","")</f>
        <v/>
      </c>
      <c r="K319" s="2" t="str">
        <f>IF(J319&lt;&gt;"","",MID(F319, G319+1, H319-G319-1))</f>
        <v>640</v>
      </c>
      <c r="L319" s="2">
        <f>IF(J319&lt;&gt;"","",LEN(K319))</f>
        <v>3</v>
      </c>
      <c r="M319" s="2" t="str">
        <f>IF(J319&lt;&gt;"","",MID(F319, H319+1, I319-H319-1))</f>
        <v>727</v>
      </c>
      <c r="N319" s="2">
        <f>IF(J319&lt;&gt;"","",LEN(M319))</f>
        <v>3</v>
      </c>
      <c r="O319" s="2">
        <f>IF(J319&lt;&gt;"","",K319*M319)</f>
        <v>465280</v>
      </c>
      <c r="R319" s="1" t="str">
        <v>66,473)$/!-{from()%]#]</v>
      </c>
      <c r="S319" s="1" t="str">
        <v>884,175</v>
      </c>
      <c r="T319" s="1" t="str">
        <v>884</v>
      </c>
      <c r="U319" s="1" t="str">
        <v>175</v>
      </c>
      <c r="V319" s="1">
        <v>154700</v>
      </c>
      <c r="AH319" s="1" t="str">
        <v>505,410)&gt;{/&amp;,~</v>
      </c>
      <c r="AI319" s="1" t="str">
        <v>505,410</v>
      </c>
      <c r="AJ319" s="1" t="str">
        <v>505</v>
      </c>
      <c r="AK319" s="1" t="str">
        <v>410</v>
      </c>
      <c r="AL319" s="1">
        <v>207050</v>
      </c>
    </row>
    <row r="320" spans="4:38" x14ac:dyDescent="0.3">
      <c r="D320" s="2">
        <v>317</v>
      </c>
      <c r="E320" s="2">
        <f>SEARCH("mul",$C$4,E319+1)</f>
        <v>7749</v>
      </c>
      <c r="F320" s="2" t="str">
        <f>MID($C$4,E320,$F$1)</f>
        <v>mul(124,151)~@{</v>
      </c>
      <c r="G320" s="3">
        <f>SEARCH("(",F320)</f>
        <v>4</v>
      </c>
      <c r="H320" s="3">
        <f>SEARCH(",",F320)</f>
        <v>8</v>
      </c>
      <c r="I320" s="3">
        <f>SEARCH(")",F320)</f>
        <v>12</v>
      </c>
      <c r="J320" s="2" t="str">
        <f>IF(OR(ISERROR(G320),ISERROR(H320),ISERROR(I320)),"CORRUPT!","")</f>
        <v/>
      </c>
      <c r="K320" s="2" t="str">
        <f>IF(J320&lt;&gt;"","",MID(F320, G320+1, H320-G320-1))</f>
        <v>124</v>
      </c>
      <c r="L320" s="2">
        <f>IF(J320&lt;&gt;"","",LEN(K320))</f>
        <v>3</v>
      </c>
      <c r="M320" s="2" t="str">
        <f>IF(J320&lt;&gt;"","",MID(F320, H320+1, I320-H320-1))</f>
        <v>151</v>
      </c>
      <c r="N320" s="2">
        <f>IF(J320&lt;&gt;"","",LEN(M320))</f>
        <v>3</v>
      </c>
      <c r="O320" s="2">
        <f>IF(J320&lt;&gt;"","",K320*M320)</f>
        <v>18724</v>
      </c>
      <c r="R320" s="1" t="str">
        <v>417,212)~&gt;{(when()$</v>
      </c>
      <c r="S320" s="1" t="str">
        <v>852,584</v>
      </c>
      <c r="T320" s="1" t="str">
        <v>852</v>
      </c>
      <c r="U320" s="1" t="str">
        <v>584</v>
      </c>
      <c r="V320" s="1">
        <v>497568</v>
      </c>
      <c r="AH320" s="1" t="str">
        <v>282,701) -!?from();</v>
      </c>
      <c r="AI320" s="1" t="str">
        <v>282,701</v>
      </c>
      <c r="AJ320" s="1" t="str">
        <v>282</v>
      </c>
      <c r="AK320" s="1" t="str">
        <v>701</v>
      </c>
      <c r="AL320" s="1">
        <v>197682</v>
      </c>
    </row>
    <row r="321" spans="4:38" x14ac:dyDescent="0.3">
      <c r="D321" s="2">
        <v>318</v>
      </c>
      <c r="E321" s="2">
        <f>SEARCH("mul",$C$4,E320+1)</f>
        <v>7776</v>
      </c>
      <c r="F321" s="2" t="str">
        <f>MID($C$4,E321,$F$1)</f>
        <v>mul(523,641)'%s</v>
      </c>
      <c r="G321" s="3">
        <f>SEARCH("(",F321)</f>
        <v>4</v>
      </c>
      <c r="H321" s="3">
        <f>SEARCH(",",F321)</f>
        <v>8</v>
      </c>
      <c r="I321" s="3">
        <f>SEARCH(")",F321)</f>
        <v>12</v>
      </c>
      <c r="J321" s="2" t="str">
        <f>IF(OR(ISERROR(G321),ISERROR(H321),ISERROR(I321)),"CORRUPT!","")</f>
        <v/>
      </c>
      <c r="K321" s="2" t="str">
        <f>IF(J321&lt;&gt;"","",MID(F321, G321+1, H321-G321-1))</f>
        <v>523</v>
      </c>
      <c r="L321" s="2">
        <f>IF(J321&lt;&gt;"","",LEN(K321))</f>
        <v>3</v>
      </c>
      <c r="M321" s="2" t="str">
        <f>IF(J321&lt;&gt;"","",MID(F321, H321+1, I321-H321-1))</f>
        <v>641</v>
      </c>
      <c r="N321" s="2">
        <f>IF(J321&lt;&gt;"","",LEN(M321))</f>
        <v>3</v>
      </c>
      <c r="O321" s="2">
        <f>IF(J321&lt;&gt;"","",K321*M321)</f>
        <v>335243</v>
      </c>
      <c r="R321" s="1" t="str">
        <v>613,175)}</v>
      </c>
      <c r="S321" s="1" t="str">
        <v>649,886</v>
      </c>
      <c r="T321" s="1" t="str">
        <v>649</v>
      </c>
      <c r="U321" s="1" t="str">
        <v>886</v>
      </c>
      <c r="V321" s="1">
        <v>575014</v>
      </c>
      <c r="AH321" s="1" t="str">
        <v>101,631)from()&lt;when()*&amp;</v>
      </c>
      <c r="AI321" s="1" t="str">
        <v>101,631</v>
      </c>
      <c r="AJ321" s="1" t="str">
        <v>101</v>
      </c>
      <c r="AK321" s="1" t="str">
        <v>631</v>
      </c>
      <c r="AL321" s="1">
        <v>63731</v>
      </c>
    </row>
    <row r="322" spans="4:38" x14ac:dyDescent="0.3">
      <c r="D322" s="2">
        <v>319</v>
      </c>
      <c r="E322" s="2">
        <f>SEARCH("mul",$C$4,E321+1)</f>
        <v>7800</v>
      </c>
      <c r="F322" s="2" t="str">
        <f>MID($C$4,E322,$F$1)</f>
        <v>mul(70,234)-$#m</v>
      </c>
      <c r="G322" s="3">
        <f>SEARCH("(",F322)</f>
        <v>4</v>
      </c>
      <c r="H322" s="3">
        <f>SEARCH(",",F322)</f>
        <v>7</v>
      </c>
      <c r="I322" s="3">
        <f>SEARCH(")",F322)</f>
        <v>11</v>
      </c>
      <c r="J322" s="2" t="str">
        <f>IF(OR(ISERROR(G322),ISERROR(H322),ISERROR(I322)),"CORRUPT!","")</f>
        <v/>
      </c>
      <c r="K322" s="2" t="str">
        <f>IF(J322&lt;&gt;"","",MID(F322, G322+1, H322-G322-1))</f>
        <v>70</v>
      </c>
      <c r="L322" s="2">
        <f>IF(J322&lt;&gt;"","",LEN(K322))</f>
        <v>2</v>
      </c>
      <c r="M322" s="2" t="str">
        <f>IF(J322&lt;&gt;"","",MID(F322, H322+1, I322-H322-1))</f>
        <v>234</v>
      </c>
      <c r="N322" s="2">
        <f>IF(J322&lt;&gt;"","",LEN(M322))</f>
        <v>3</v>
      </c>
      <c r="O322" s="2">
        <f>IF(J322&lt;&gt;"","",K322*M322)</f>
        <v>16380</v>
      </c>
      <c r="R322" s="1" t="str">
        <v>503,337)~)what() mul:!-*}?~who()&lt;</v>
      </c>
      <c r="S322" s="1" t="str">
        <v>593,702</v>
      </c>
      <c r="T322" s="1" t="str">
        <v>593</v>
      </c>
      <c r="U322" s="1" t="str">
        <v>702</v>
      </c>
      <c r="V322" s="1">
        <v>416286</v>
      </c>
      <c r="AH322" s="1" t="str">
        <v>187,146)[@+&lt;?{[#{&lt;</v>
      </c>
      <c r="AI322" s="1" t="str">
        <v>187,146</v>
      </c>
      <c r="AJ322" s="1" t="str">
        <v>187</v>
      </c>
      <c r="AK322" s="1" t="str">
        <v>146</v>
      </c>
      <c r="AL322" s="1">
        <v>27302</v>
      </c>
    </row>
    <row r="323" spans="4:38" x14ac:dyDescent="0.3">
      <c r="D323" s="2">
        <v>320</v>
      </c>
      <c r="E323" s="2">
        <f>SEARCH("mul",$C$4,E322+1)</f>
        <v>7814</v>
      </c>
      <c r="F323" s="2" t="str">
        <f>MID($C$4,E323,$F$1)</f>
        <v>mul(589,488)^:h</v>
      </c>
      <c r="G323" s="3">
        <f>SEARCH("(",F323)</f>
        <v>4</v>
      </c>
      <c r="H323" s="3">
        <f>SEARCH(",",F323)</f>
        <v>8</v>
      </c>
      <c r="I323" s="3">
        <f>SEARCH(")",F323)</f>
        <v>12</v>
      </c>
      <c r="J323" s="2" t="str">
        <f>IF(OR(ISERROR(G323),ISERROR(H323),ISERROR(I323)),"CORRUPT!","")</f>
        <v/>
      </c>
      <c r="K323" s="2" t="str">
        <f>IF(J323&lt;&gt;"","",MID(F323, G323+1, H323-G323-1))</f>
        <v>589</v>
      </c>
      <c r="L323" s="2">
        <f>IF(J323&lt;&gt;"","",LEN(K323))</f>
        <v>3</v>
      </c>
      <c r="M323" s="2" t="str">
        <f>IF(J323&lt;&gt;"","",MID(F323, H323+1, I323-H323-1))</f>
        <v>488</v>
      </c>
      <c r="N323" s="2">
        <f>IF(J323&lt;&gt;"","",LEN(M323))</f>
        <v>3</v>
      </c>
      <c r="O323" s="2">
        <f>IF(J323&lt;&gt;"","",K323*M323)</f>
        <v>287432</v>
      </c>
      <c r="R323" s="1" t="str">
        <v>709,759)}what()^where()when()!select(820,39)]::</v>
      </c>
      <c r="S323" s="1" t="str">
        <v>456,697</v>
      </c>
      <c r="T323" s="1" t="str">
        <v>456</v>
      </c>
      <c r="U323" s="1" t="str">
        <v>697</v>
      </c>
      <c r="V323" s="1">
        <v>317832</v>
      </c>
      <c r="AH323" s="1" t="str">
        <v>424,344);!?why()%}what()*&gt;/</v>
      </c>
      <c r="AI323" s="1" t="str">
        <v>424,344</v>
      </c>
      <c r="AJ323" s="1" t="str">
        <v>424</v>
      </c>
      <c r="AK323" s="1" t="str">
        <v>344</v>
      </c>
      <c r="AL323" s="1">
        <v>145856</v>
      </c>
    </row>
    <row r="324" spans="4:38" x14ac:dyDescent="0.3">
      <c r="D324" s="2">
        <v>321</v>
      </c>
      <c r="E324" s="2">
        <f>SEARCH("mul",$C$4,E323+1)</f>
        <v>7840</v>
      </c>
      <c r="F324" s="2" t="str">
        <f>MID($C$4,E324,$F$1)</f>
        <v>mul(66,473)$/!-</v>
      </c>
      <c r="G324" s="3">
        <f>SEARCH("(",F324)</f>
        <v>4</v>
      </c>
      <c r="H324" s="3">
        <f>SEARCH(",",F324)</f>
        <v>7</v>
      </c>
      <c r="I324" s="3">
        <f>SEARCH(")",F324)</f>
        <v>11</v>
      </c>
      <c r="J324" s="2" t="str">
        <f>IF(OR(ISERROR(G324),ISERROR(H324),ISERROR(I324)),"CORRUPT!","")</f>
        <v/>
      </c>
      <c r="K324" s="2" t="str">
        <f>IF(J324&lt;&gt;"","",MID(F324, G324+1, H324-G324-1))</f>
        <v>66</v>
      </c>
      <c r="L324" s="2">
        <f>IF(J324&lt;&gt;"","",LEN(K324))</f>
        <v>2</v>
      </c>
      <c r="M324" s="2" t="str">
        <f>IF(J324&lt;&gt;"","",MID(F324, H324+1, I324-H324-1))</f>
        <v>473</v>
      </c>
      <c r="N324" s="2">
        <f>IF(J324&lt;&gt;"","",LEN(M324))</f>
        <v>3</v>
      </c>
      <c r="O324" s="2">
        <f>IF(J324&lt;&gt;"","",K324*M324)</f>
        <v>31218</v>
      </c>
      <c r="R324" s="1" t="str">
        <v>884,175):#</v>
      </c>
      <c r="S324" s="1" t="str">
        <v>789,446</v>
      </c>
      <c r="T324" s="1" t="str">
        <v>789</v>
      </c>
      <c r="U324" s="1" t="str">
        <v>446</v>
      </c>
      <c r="V324" s="1">
        <v>351894</v>
      </c>
      <c r="AH324" s="1" t="str">
        <v xml:space="preserve">236,985)why(458,58)-&gt;when()from()+ </v>
      </c>
      <c r="AI324" s="1" t="str">
        <v>236,985</v>
      </c>
      <c r="AJ324" s="1" t="str">
        <v>236</v>
      </c>
      <c r="AK324" s="1" t="str">
        <v>985</v>
      </c>
      <c r="AL324" s="1">
        <v>232460</v>
      </c>
    </row>
    <row r="325" spans="4:38" x14ac:dyDescent="0.3">
      <c r="D325" s="2">
        <v>322</v>
      </c>
      <c r="E325" s="2">
        <f>SEARCH("mul",$C$4,E324+1)</f>
        <v>7866</v>
      </c>
      <c r="F325" s="2" t="str">
        <f>MID($C$4,E325,$F$1)</f>
        <v>mul(417,212)~&gt;{</v>
      </c>
      <c r="G325" s="3">
        <f>SEARCH("(",F325)</f>
        <v>4</v>
      </c>
      <c r="H325" s="3">
        <f>SEARCH(",",F325)</f>
        <v>8</v>
      </c>
      <c r="I325" s="3">
        <f>SEARCH(")",F325)</f>
        <v>12</v>
      </c>
      <c r="J325" s="2" t="str">
        <f>IF(OR(ISERROR(G325),ISERROR(H325),ISERROR(I325)),"CORRUPT!","")</f>
        <v/>
      </c>
      <c r="K325" s="2" t="str">
        <f>IF(J325&lt;&gt;"","",MID(F325, G325+1, H325-G325-1))</f>
        <v>417</v>
      </c>
      <c r="L325" s="2">
        <f>IF(J325&lt;&gt;"","",LEN(K325))</f>
        <v>3</v>
      </c>
      <c r="M325" s="2" t="str">
        <f>IF(J325&lt;&gt;"","",MID(F325, H325+1, I325-H325-1))</f>
        <v>212</v>
      </c>
      <c r="N325" s="2">
        <f>IF(J325&lt;&gt;"","",LEN(M325))</f>
        <v>3</v>
      </c>
      <c r="O325" s="2">
        <f>IF(J325&lt;&gt;"","",K325*M325)</f>
        <v>88404</v>
      </c>
      <c r="R325" s="1" t="str">
        <v>852,584)&gt;-</v>
      </c>
      <c r="S325" s="1" t="str">
        <v>737,439</v>
      </c>
      <c r="T325" s="1" t="str">
        <v>737</v>
      </c>
      <c r="U325" s="1" t="str">
        <v>439</v>
      </c>
      <c r="V325" s="1">
        <v>323543</v>
      </c>
      <c r="AH325" s="1" t="str">
        <v>389,902)why(301,687) select()}&gt; who()</v>
      </c>
      <c r="AI325" s="1" t="str">
        <v>389,902</v>
      </c>
      <c r="AJ325" s="1" t="str">
        <v>389</v>
      </c>
      <c r="AK325" s="1" t="str">
        <v>902</v>
      </c>
      <c r="AL325" s="1">
        <v>350878</v>
      </c>
    </row>
    <row r="326" spans="4:38" x14ac:dyDescent="0.3">
      <c r="D326" s="2">
        <v>323</v>
      </c>
      <c r="E326" s="2">
        <f>SEARCH("mul",$C$4,E325+1)</f>
        <v>7889</v>
      </c>
      <c r="F326" s="2" t="str">
        <f>MID($C$4,E326,$F$1)</f>
        <v>mul(613,175)}mu</v>
      </c>
      <c r="G326" s="3">
        <f>SEARCH("(",F326)</f>
        <v>4</v>
      </c>
      <c r="H326" s="3">
        <f>SEARCH(",",F326)</f>
        <v>8</v>
      </c>
      <c r="I326" s="3">
        <f>SEARCH(")",F326)</f>
        <v>12</v>
      </c>
      <c r="J326" s="2" t="str">
        <f>IF(OR(ISERROR(G326),ISERROR(H326),ISERROR(I326)),"CORRUPT!","")</f>
        <v/>
      </c>
      <c r="K326" s="2" t="str">
        <f>IF(J326&lt;&gt;"","",MID(F326, G326+1, H326-G326-1))</f>
        <v>613</v>
      </c>
      <c r="L326" s="2">
        <f>IF(J326&lt;&gt;"","",LEN(K326))</f>
        <v>3</v>
      </c>
      <c r="M326" s="2" t="str">
        <f>IF(J326&lt;&gt;"","",MID(F326, H326+1, I326-H326-1))</f>
        <v>175</v>
      </c>
      <c r="N326" s="2">
        <f>IF(J326&lt;&gt;"","",LEN(M326))</f>
        <v>3</v>
      </c>
      <c r="O326" s="2">
        <f>IF(J326&lt;&gt;"","",K326*M326)</f>
        <v>107275</v>
      </c>
      <c r="R326" s="1" t="str">
        <v>649,886)+how(738,973)when()[(</v>
      </c>
      <c r="S326" s="1" t="str">
        <v>830,910</v>
      </c>
      <c r="T326" s="1" t="str">
        <v>830</v>
      </c>
      <c r="U326" s="1" t="str">
        <v>910</v>
      </c>
      <c r="V326" s="1">
        <v>755300</v>
      </c>
      <c r="AH326" s="1" t="str">
        <v>265,840)/</v>
      </c>
      <c r="AI326" s="1" t="str">
        <v>265,840</v>
      </c>
      <c r="AJ326" s="1" t="str">
        <v>265</v>
      </c>
      <c r="AK326" s="1" t="str">
        <v>840</v>
      </c>
      <c r="AL326" s="1">
        <v>222600</v>
      </c>
    </row>
    <row r="327" spans="4:38" x14ac:dyDescent="0.3">
      <c r="D327" s="2">
        <v>324</v>
      </c>
      <c r="E327" s="2">
        <f>SEARCH("mul",$C$4,E326+1)</f>
        <v>7902</v>
      </c>
      <c r="F327" s="2" t="str">
        <f>MID($C$4,E327,$F$1)</f>
        <v>mul(503,337)~)w</v>
      </c>
      <c r="G327" s="3">
        <f>SEARCH("(",F327)</f>
        <v>4</v>
      </c>
      <c r="H327" s="3">
        <f>SEARCH(",",F327)</f>
        <v>8</v>
      </c>
      <c r="I327" s="3">
        <f>SEARCH(")",F327)</f>
        <v>12</v>
      </c>
      <c r="J327" s="2" t="str">
        <f>IF(OR(ISERROR(G327),ISERROR(H327),ISERROR(I327)),"CORRUPT!","")</f>
        <v/>
      </c>
      <c r="K327" s="2" t="str">
        <f>IF(J327&lt;&gt;"","",MID(F327, G327+1, H327-G327-1))</f>
        <v>503</v>
      </c>
      <c r="L327" s="2">
        <f>IF(J327&lt;&gt;"","",LEN(K327))</f>
        <v>3</v>
      </c>
      <c r="M327" s="2" t="str">
        <f>IF(J327&lt;&gt;"","",MID(F327, H327+1, I327-H327-1))</f>
        <v>337</v>
      </c>
      <c r="N327" s="2">
        <f>IF(J327&lt;&gt;"","",LEN(M327))</f>
        <v>3</v>
      </c>
      <c r="O327" s="2">
        <f>IF(J327&lt;&gt;"","",K327*M327)</f>
        <v>169511</v>
      </c>
      <c r="R327" s="1" t="str">
        <v>593,702)where()%%^(]who()</v>
      </c>
      <c r="S327" s="1" t="str">
        <v>972,441</v>
      </c>
      <c r="T327" s="1" t="str">
        <v>972</v>
      </c>
      <c r="U327" s="1" t="str">
        <v>441</v>
      </c>
      <c r="V327" s="1">
        <v>428652</v>
      </c>
      <c r="AH327" s="1" t="str">
        <v>652,469)~where()what(){&lt;&gt;~</v>
      </c>
      <c r="AI327" s="1" t="str">
        <v>652,469</v>
      </c>
      <c r="AJ327" s="1" t="str">
        <v>652</v>
      </c>
      <c r="AK327" s="1" t="str">
        <v>469</v>
      </c>
      <c r="AL327" s="1">
        <v>305788</v>
      </c>
    </row>
    <row r="328" spans="4:38" x14ac:dyDescent="0.3">
      <c r="D328" s="2">
        <v>325</v>
      </c>
      <c r="E328" s="2">
        <f>SEARCH("mul",$C$4,E327+1)</f>
        <v>7923</v>
      </c>
      <c r="F328" s="2" t="str">
        <f>MID($C$4,E328,$F$1)</f>
        <v>mul:!-*}?~who()</v>
      </c>
      <c r="G328" s="3">
        <f>SEARCH("(",F328)</f>
        <v>14</v>
      </c>
      <c r="H328" s="3" t="e">
        <f>SEARCH(",",F328)</f>
        <v>#VALUE!</v>
      </c>
      <c r="I328" s="3">
        <f>SEARCH(")",F328)</f>
        <v>15</v>
      </c>
      <c r="J328" s="2" t="str">
        <f>IF(OR(ISERROR(G328),ISERROR(H328),ISERROR(I328)),"CORRUPT!","")</f>
        <v>CORRUPT!</v>
      </c>
      <c r="K328" s="2" t="str">
        <f>IF(J328&lt;&gt;"","",MID(F328, G328+1, H328-G328-1))</f>
        <v/>
      </c>
      <c r="L328" s="2" t="str">
        <f>IF(J328&lt;&gt;"","",LEN(K328))</f>
        <v/>
      </c>
      <c r="M328" s="2" t="str">
        <f>IF(J328&lt;&gt;"","",MID(F328, H328+1, I328-H328-1))</f>
        <v/>
      </c>
      <c r="N328" s="2" t="str">
        <f>IF(J328&lt;&gt;"","",LEN(M328))</f>
        <v/>
      </c>
      <c r="O328" s="2" t="str">
        <f>IF(J328&lt;&gt;"","",K328*M328)</f>
        <v/>
      </c>
      <c r="R328" s="1" t="str">
        <v>456,697)%~^'when()how()</v>
      </c>
      <c r="S328" s="1" t="str">
        <v>157,521</v>
      </c>
      <c r="T328" s="1" t="str">
        <v>157</v>
      </c>
      <c r="U328" s="1" t="str">
        <v>521</v>
      </c>
      <c r="V328" s="1">
        <v>81797</v>
      </c>
      <c r="AH328" s="1" t="str">
        <v>792,402);&gt; $+@select(747,467)[</v>
      </c>
      <c r="AI328" s="1" t="str">
        <v>792,402</v>
      </c>
      <c r="AJ328" s="1" t="str">
        <v>792</v>
      </c>
      <c r="AK328" s="1" t="str">
        <v>402</v>
      </c>
      <c r="AL328" s="1">
        <v>318384</v>
      </c>
    </row>
    <row r="329" spans="4:38" x14ac:dyDescent="0.3">
      <c r="D329" s="2">
        <v>326</v>
      </c>
      <c r="E329" s="2">
        <f>SEARCH("mul",$C$4,E328+1)</f>
        <v>7939</v>
      </c>
      <c r="F329" s="2" t="str">
        <f>MID($C$4,E329,$F$1)</f>
        <v>mul(709,759)}wh</v>
      </c>
      <c r="G329" s="3">
        <f>SEARCH("(",F329)</f>
        <v>4</v>
      </c>
      <c r="H329" s="3">
        <f>SEARCH(",",F329)</f>
        <v>8</v>
      </c>
      <c r="I329" s="3">
        <f>SEARCH(")",F329)</f>
        <v>12</v>
      </c>
      <c r="J329" s="2" t="str">
        <f>IF(OR(ISERROR(G329),ISERROR(H329),ISERROR(I329)),"CORRUPT!","")</f>
        <v/>
      </c>
      <c r="K329" s="2" t="str">
        <f>IF(J329&lt;&gt;"","",MID(F329, G329+1, H329-G329-1))</f>
        <v>709</v>
      </c>
      <c r="L329" s="2">
        <f>IF(J329&lt;&gt;"","",LEN(K329))</f>
        <v>3</v>
      </c>
      <c r="M329" s="2" t="str">
        <f>IF(J329&lt;&gt;"","",MID(F329, H329+1, I329-H329-1))</f>
        <v>759</v>
      </c>
      <c r="N329" s="2">
        <f>IF(J329&lt;&gt;"","",LEN(M329))</f>
        <v>3</v>
      </c>
      <c r="O329" s="2">
        <f>IF(J329&lt;&gt;"","",K329*M329)</f>
        <v>538131</v>
      </c>
      <c r="R329" s="1" t="str">
        <v>789,446)</v>
      </c>
      <c r="S329" s="1" t="str">
        <v>43,224</v>
      </c>
      <c r="T329" s="1" t="str">
        <v>43</v>
      </c>
      <c r="U329" s="1" t="str">
        <v>224</v>
      </c>
      <c r="V329" s="1">
        <v>9632</v>
      </c>
      <c r="AH329" s="1" t="str">
        <v>720,836)%what(984,399)[select()-+{}}</v>
      </c>
      <c r="AI329" s="1" t="str">
        <v>720,836</v>
      </c>
      <c r="AJ329" s="1" t="str">
        <v>720</v>
      </c>
      <c r="AK329" s="1" t="str">
        <v>836</v>
      </c>
      <c r="AL329" s="1">
        <v>601920</v>
      </c>
    </row>
    <row r="330" spans="4:38" x14ac:dyDescent="0.3">
      <c r="D330" s="2">
        <v>327</v>
      </c>
      <c r="E330" s="2">
        <f>SEARCH("mul",$C$4,E329+1)</f>
        <v>7990</v>
      </c>
      <c r="F330" s="2" t="str">
        <f>MID($C$4,E330,$F$1)</f>
        <v>mul(884,175):#m</v>
      </c>
      <c r="G330" s="3">
        <f>SEARCH("(",F330)</f>
        <v>4</v>
      </c>
      <c r="H330" s="3">
        <f>SEARCH(",",F330)</f>
        <v>8</v>
      </c>
      <c r="I330" s="3">
        <f>SEARCH(")",F330)</f>
        <v>12</v>
      </c>
      <c r="J330" s="2" t="str">
        <f>IF(OR(ISERROR(G330),ISERROR(H330),ISERROR(I330)),"CORRUPT!","")</f>
        <v/>
      </c>
      <c r="K330" s="2" t="str">
        <f>IF(J330&lt;&gt;"","",MID(F330, G330+1, H330-G330-1))</f>
        <v>884</v>
      </c>
      <c r="L330" s="2">
        <f>IF(J330&lt;&gt;"","",LEN(K330))</f>
        <v>3</v>
      </c>
      <c r="M330" s="2" t="str">
        <f>IF(J330&lt;&gt;"","",MID(F330, H330+1, I330-H330-1))</f>
        <v>175</v>
      </c>
      <c r="N330" s="2">
        <f>IF(J330&lt;&gt;"","",LEN(M330))</f>
        <v>3</v>
      </c>
      <c r="O330" s="2">
        <f>IF(J330&lt;&gt;"","",K330*M330)</f>
        <v>154700</v>
      </c>
      <c r="R330" s="1" t="str">
        <v>737,439)</v>
      </c>
      <c r="S330" s="1" t="str">
        <v>52,740</v>
      </c>
      <c r="T330" s="1" t="str">
        <v>52</v>
      </c>
      <c r="U330" s="1" t="str">
        <v>740</v>
      </c>
      <c r="V330" s="1">
        <v>38480</v>
      </c>
      <c r="AH330" s="1" t="str">
        <v>757,143)-)%from(),)+where()</v>
      </c>
      <c r="AI330" s="1" t="str">
        <v>757,143</v>
      </c>
      <c r="AJ330" s="1" t="str">
        <v>757</v>
      </c>
      <c r="AK330" s="1" t="str">
        <v>143</v>
      </c>
      <c r="AL330" s="1">
        <v>108251</v>
      </c>
    </row>
    <row r="331" spans="4:38" x14ac:dyDescent="0.3">
      <c r="D331" s="2">
        <v>328</v>
      </c>
      <c r="E331" s="2">
        <f>SEARCH("mul",$C$4,E330+1)</f>
        <v>8004</v>
      </c>
      <c r="F331" s="2" t="str">
        <f>MID($C$4,E331,$F$1)</f>
        <v>mul(852,584)&gt;-m</v>
      </c>
      <c r="G331" s="3">
        <f>SEARCH("(",F331)</f>
        <v>4</v>
      </c>
      <c r="H331" s="3">
        <f>SEARCH(",",F331)</f>
        <v>8</v>
      </c>
      <c r="I331" s="3">
        <f>SEARCH(")",F331)</f>
        <v>12</v>
      </c>
      <c r="J331" s="2" t="str">
        <f>IF(OR(ISERROR(G331),ISERROR(H331),ISERROR(I331)),"CORRUPT!","")</f>
        <v/>
      </c>
      <c r="K331" s="2" t="str">
        <f>IF(J331&lt;&gt;"","",MID(F331, G331+1, H331-G331-1))</f>
        <v>852</v>
      </c>
      <c r="L331" s="2">
        <f>IF(J331&lt;&gt;"","",LEN(K331))</f>
        <v>3</v>
      </c>
      <c r="M331" s="2" t="str">
        <f>IF(J331&lt;&gt;"","",MID(F331, H331+1, I331-H331-1))</f>
        <v>584</v>
      </c>
      <c r="N331" s="2">
        <f>IF(J331&lt;&gt;"","",LEN(M331))</f>
        <v>3</v>
      </c>
      <c r="O331" s="2">
        <f>IF(J331&lt;&gt;"","",K331*M331)</f>
        <v>497568</v>
      </c>
      <c r="R331" s="1" t="str">
        <v>830,910):&gt;why()when()how()'?]why()&gt;do()#'&amp;why()'from()</v>
      </c>
      <c r="S331" s="1" t="str">
        <v>136,716</v>
      </c>
      <c r="T331" s="1" t="str">
        <v>136</v>
      </c>
      <c r="U331" s="1" t="str">
        <v>716</v>
      </c>
      <c r="V331" s="1">
        <v>97376</v>
      </c>
      <c r="AH331" s="1" t="str">
        <v>810,426)&lt;!*</v>
      </c>
      <c r="AI331" s="1" t="str">
        <v>810,426</v>
      </c>
      <c r="AJ331" s="1" t="str">
        <v>810</v>
      </c>
      <c r="AK331" s="1" t="str">
        <v>426</v>
      </c>
      <c r="AL331" s="1">
        <v>345060</v>
      </c>
    </row>
    <row r="332" spans="4:38" x14ac:dyDescent="0.3">
      <c r="D332" s="2">
        <v>329</v>
      </c>
      <c r="E332" s="2">
        <f>SEARCH("mul",$C$4,E331+1)</f>
        <v>8018</v>
      </c>
      <c r="F332" s="2" t="str">
        <f>MID($C$4,E332,$F$1)</f>
        <v>mul(649,886)+ho</v>
      </c>
      <c r="G332" s="3">
        <f>SEARCH("(",F332)</f>
        <v>4</v>
      </c>
      <c r="H332" s="3">
        <f>SEARCH(",",F332)</f>
        <v>8</v>
      </c>
      <c r="I332" s="3">
        <f>SEARCH(")",F332)</f>
        <v>12</v>
      </c>
      <c r="J332" s="2" t="str">
        <f>IF(OR(ISERROR(G332),ISERROR(H332),ISERROR(I332)),"CORRUPT!","")</f>
        <v/>
      </c>
      <c r="K332" s="2" t="str">
        <f>IF(J332&lt;&gt;"","",MID(F332, G332+1, H332-G332-1))</f>
        <v>649</v>
      </c>
      <c r="L332" s="2">
        <f>IF(J332&lt;&gt;"","",LEN(K332))</f>
        <v>3</v>
      </c>
      <c r="M332" s="2" t="str">
        <f>IF(J332&lt;&gt;"","",MID(F332, H332+1, I332-H332-1))</f>
        <v>886</v>
      </c>
      <c r="N332" s="2">
        <f>IF(J332&lt;&gt;"","",LEN(M332))</f>
        <v>3</v>
      </c>
      <c r="O332" s="2">
        <f>IF(J332&lt;&gt;"","",K332*M332)</f>
        <v>575014</v>
      </c>
      <c r="R332" s="1" t="str">
        <v>972,441):</v>
      </c>
      <c r="S332" s="1" t="str">
        <v>613,433</v>
      </c>
      <c r="T332" s="1" t="str">
        <v>613</v>
      </c>
      <c r="U332" s="1" t="str">
        <v>433</v>
      </c>
      <c r="V332" s="1">
        <v>265429</v>
      </c>
      <c r="AH332" s="1" t="str">
        <v>596,769)$ from():]how()</v>
      </c>
      <c r="AI332" s="1" t="str">
        <v>596,769</v>
      </c>
      <c r="AJ332" s="1" t="str">
        <v>596</v>
      </c>
      <c r="AK332" s="1" t="str">
        <v>769</v>
      </c>
      <c r="AL332" s="1">
        <v>458324</v>
      </c>
    </row>
    <row r="333" spans="4:38" x14ac:dyDescent="0.3">
      <c r="D333" s="2">
        <v>330</v>
      </c>
      <c r="E333" s="2">
        <f>SEARCH("mul",$C$4,E332+1)</f>
        <v>8051</v>
      </c>
      <c r="F333" s="2" t="str">
        <f>MID($C$4,E333,$F$1)</f>
        <v>mul(593,702)whe</v>
      </c>
      <c r="G333" s="3">
        <f>SEARCH("(",F333)</f>
        <v>4</v>
      </c>
      <c r="H333" s="3">
        <f>SEARCH(",",F333)</f>
        <v>8</v>
      </c>
      <c r="I333" s="3">
        <f>SEARCH(")",F333)</f>
        <v>12</v>
      </c>
      <c r="J333" s="2" t="str">
        <f>IF(OR(ISERROR(G333),ISERROR(H333),ISERROR(I333)),"CORRUPT!","")</f>
        <v/>
      </c>
      <c r="K333" s="2" t="str">
        <f>IF(J333&lt;&gt;"","",MID(F333, G333+1, H333-G333-1))</f>
        <v>593</v>
      </c>
      <c r="L333" s="2">
        <f>IF(J333&lt;&gt;"","",LEN(K333))</f>
        <v>3</v>
      </c>
      <c r="M333" s="2" t="str">
        <f>IF(J333&lt;&gt;"","",MID(F333, H333+1, I333-H333-1))</f>
        <v>702</v>
      </c>
      <c r="N333" s="2">
        <f>IF(J333&lt;&gt;"","",LEN(M333))</f>
        <v>3</v>
      </c>
      <c r="O333" s="2">
        <f>IF(J333&lt;&gt;"","",K333*M333)</f>
        <v>416286</v>
      </c>
      <c r="R333" s="1" t="str">
        <v>157,521)</v>
      </c>
      <c r="S333" s="1" t="str">
        <v>978,314</v>
      </c>
      <c r="T333" s="1" t="str">
        <v>978</v>
      </c>
      <c r="U333" s="1" t="str">
        <v>314</v>
      </c>
      <c r="V333" s="1">
        <v>307092</v>
      </c>
      <c r="AH333" s="1" t="str">
        <v xml:space="preserve">67,919)why(485,244)]why(506,511)how()&amp;,[{% </v>
      </c>
      <c r="AI333" s="1" t="str">
        <v>67,919</v>
      </c>
      <c r="AJ333" s="1" t="str">
        <v>67</v>
      </c>
      <c r="AK333" s="1" t="str">
        <v>919</v>
      </c>
      <c r="AL333" s="1">
        <v>61573</v>
      </c>
    </row>
    <row r="334" spans="4:38" x14ac:dyDescent="0.3">
      <c r="D334" s="2">
        <v>331</v>
      </c>
      <c r="E334" s="2">
        <f>SEARCH("mul",$C$4,E333+1)</f>
        <v>8080</v>
      </c>
      <c r="F334" s="2" t="str">
        <f>MID($C$4,E334,$F$1)</f>
        <v>mul(456,697)%~^</v>
      </c>
      <c r="G334" s="3">
        <f>SEARCH("(",F334)</f>
        <v>4</v>
      </c>
      <c r="H334" s="3">
        <f>SEARCH(",",F334)</f>
        <v>8</v>
      </c>
      <c r="I334" s="3">
        <f>SEARCH(")",F334)</f>
        <v>12</v>
      </c>
      <c r="J334" s="2" t="str">
        <f>IF(OR(ISERROR(G334),ISERROR(H334),ISERROR(I334)),"CORRUPT!","")</f>
        <v/>
      </c>
      <c r="K334" s="2" t="str">
        <f>IF(J334&lt;&gt;"","",MID(F334, G334+1, H334-G334-1))</f>
        <v>456</v>
      </c>
      <c r="L334" s="2">
        <f>IF(J334&lt;&gt;"","",LEN(K334))</f>
        <v>3</v>
      </c>
      <c r="M334" s="2" t="str">
        <f>IF(J334&lt;&gt;"","",MID(F334, H334+1, I334-H334-1))</f>
        <v>697</v>
      </c>
      <c r="N334" s="2">
        <f>IF(J334&lt;&gt;"","",LEN(M334))</f>
        <v>3</v>
      </c>
      <c r="O334" s="2">
        <f>IF(J334&lt;&gt;"","",K334*M334)</f>
        <v>317832</v>
      </c>
      <c r="R334" s="1" t="str">
        <v>43,224):$who()&gt;select()how()</v>
      </c>
      <c r="S334" s="1" t="str">
        <v>695,29</v>
      </c>
      <c r="T334" s="1" t="str">
        <v>695</v>
      </c>
      <c r="U334" s="1" t="str">
        <v>29</v>
      </c>
      <c r="V334" s="1">
        <v>20155</v>
      </c>
      <c r="AH334" s="1" t="str">
        <v>794,823)!/]-*&lt;'where()</v>
      </c>
      <c r="AI334" s="1" t="str">
        <v>794,823</v>
      </c>
      <c r="AJ334" s="1" t="str">
        <v>794</v>
      </c>
      <c r="AK334" s="1" t="str">
        <v>823</v>
      </c>
      <c r="AL334" s="1">
        <v>653462</v>
      </c>
    </row>
    <row r="335" spans="4:38" x14ac:dyDescent="0.3">
      <c r="D335" s="2">
        <v>332</v>
      </c>
      <c r="E335" s="2">
        <f>SEARCH("mul",$C$4,E334+1)</f>
        <v>8107</v>
      </c>
      <c r="F335" s="2" t="str">
        <f>MID($C$4,E335,$F$1)</f>
        <v>mul(789,446)mul</v>
      </c>
      <c r="G335" s="3">
        <f>SEARCH("(",F335)</f>
        <v>4</v>
      </c>
      <c r="H335" s="3">
        <f>SEARCH(",",F335)</f>
        <v>8</v>
      </c>
      <c r="I335" s="3">
        <f>SEARCH(")",F335)</f>
        <v>12</v>
      </c>
      <c r="J335" s="2" t="str">
        <f>IF(OR(ISERROR(G335),ISERROR(H335),ISERROR(I335)),"CORRUPT!","")</f>
        <v/>
      </c>
      <c r="K335" s="2" t="str">
        <f>IF(J335&lt;&gt;"","",MID(F335, G335+1, H335-G335-1))</f>
        <v>789</v>
      </c>
      <c r="L335" s="2">
        <f>IF(J335&lt;&gt;"","",LEN(K335))</f>
        <v>3</v>
      </c>
      <c r="M335" s="2" t="str">
        <f>IF(J335&lt;&gt;"","",MID(F335, H335+1, I335-H335-1))</f>
        <v>446</v>
      </c>
      <c r="N335" s="2">
        <f>IF(J335&lt;&gt;"","",LEN(M335))</f>
        <v>3</v>
      </c>
      <c r="O335" s="2">
        <f>IF(J335&lt;&gt;"","",K335*M335)</f>
        <v>351894</v>
      </c>
      <c r="R335" s="1" t="str">
        <v>52,740)'</v>
      </c>
      <c r="S335" s="1" t="str">
        <v>778,660</v>
      </c>
      <c r="T335" s="1" t="str">
        <v>778</v>
      </c>
      <c r="U335" s="1" t="str">
        <v>660</v>
      </c>
      <c r="V335" s="1">
        <v>513480</v>
      </c>
      <c r="AH335" s="1" t="str">
        <v>872~%how()$&lt;}]}why()~how()</v>
      </c>
      <c r="AI335" s="1" t="str">
        <v>872~%how(</v>
      </c>
      <c r="AJ335" s="1" t="e">
        <v>#N/A</v>
      </c>
      <c r="AK335" s="1" t="e">
        <v>#N/A</v>
      </c>
      <c r="AL335" s="1">
        <v>0</v>
      </c>
    </row>
    <row r="336" spans="4:38" x14ac:dyDescent="0.3">
      <c r="D336" s="2">
        <v>333</v>
      </c>
      <c r="E336" s="2">
        <f>SEARCH("mul",$C$4,E335+1)</f>
        <v>8119</v>
      </c>
      <c r="F336" s="2" t="str">
        <f>MID($C$4,E336,$F$1)</f>
        <v>mul(737,439)mul</v>
      </c>
      <c r="G336" s="3">
        <f>SEARCH("(",F336)</f>
        <v>4</v>
      </c>
      <c r="H336" s="3">
        <f>SEARCH(",",F336)</f>
        <v>8</v>
      </c>
      <c r="I336" s="3">
        <f>SEARCH(")",F336)</f>
        <v>12</v>
      </c>
      <c r="J336" s="2" t="str">
        <f>IF(OR(ISERROR(G336),ISERROR(H336),ISERROR(I336)),"CORRUPT!","")</f>
        <v/>
      </c>
      <c r="K336" s="2" t="str">
        <f>IF(J336&lt;&gt;"","",MID(F336, G336+1, H336-G336-1))</f>
        <v>737</v>
      </c>
      <c r="L336" s="2">
        <f>IF(J336&lt;&gt;"","",LEN(K336))</f>
        <v>3</v>
      </c>
      <c r="M336" s="2" t="str">
        <f>IF(J336&lt;&gt;"","",MID(F336, H336+1, I336-H336-1))</f>
        <v>439</v>
      </c>
      <c r="N336" s="2">
        <f>IF(J336&lt;&gt;"","",LEN(M336))</f>
        <v>3</v>
      </c>
      <c r="O336" s="2">
        <f>IF(J336&lt;&gt;"","",K336*M336)</f>
        <v>323543</v>
      </c>
      <c r="R336" s="1" t="str">
        <v>136,716)select()</v>
      </c>
      <c r="S336" s="1" t="str">
        <v>402,606</v>
      </c>
      <c r="T336" s="1" t="str">
        <v>402</v>
      </c>
      <c r="U336" s="1" t="str">
        <v>606</v>
      </c>
      <c r="V336" s="1">
        <v>243612</v>
      </c>
      <c r="AH336" s="1" t="str">
        <v>413,924)?+[&gt;#who()^@mul,]-'(^^&gt;</v>
      </c>
      <c r="AI336" s="1" t="str">
        <v>413,924</v>
      </c>
      <c r="AJ336" s="1" t="str">
        <v>413</v>
      </c>
      <c r="AK336" s="1" t="str">
        <v>924</v>
      </c>
      <c r="AL336" s="1">
        <v>381612</v>
      </c>
    </row>
    <row r="337" spans="4:38" x14ac:dyDescent="0.3">
      <c r="D337" s="2">
        <v>334</v>
      </c>
      <c r="E337" s="2">
        <f>SEARCH("mul",$C$4,E336+1)</f>
        <v>8131</v>
      </c>
      <c r="F337" s="2" t="str">
        <f>MID($C$4,E337,$F$1)</f>
        <v>mul(830,910):&gt;w</v>
      </c>
      <c r="G337" s="3">
        <f>SEARCH("(",F337)</f>
        <v>4</v>
      </c>
      <c r="H337" s="3">
        <f>SEARCH(",",F337)</f>
        <v>8</v>
      </c>
      <c r="I337" s="3">
        <f>SEARCH(")",F337)</f>
        <v>12</v>
      </c>
      <c r="J337" s="2" t="str">
        <f>IF(OR(ISERROR(G337),ISERROR(H337),ISERROR(I337)),"CORRUPT!","")</f>
        <v/>
      </c>
      <c r="K337" s="2" t="str">
        <f>IF(J337&lt;&gt;"","",MID(F337, G337+1, H337-G337-1))</f>
        <v>830</v>
      </c>
      <c r="L337" s="2">
        <f>IF(J337&lt;&gt;"","",LEN(K337))</f>
        <v>3</v>
      </c>
      <c r="M337" s="2" t="str">
        <f>IF(J337&lt;&gt;"","",MID(F337, H337+1, I337-H337-1))</f>
        <v>910</v>
      </c>
      <c r="N337" s="2">
        <f>IF(J337&lt;&gt;"","",LEN(M337))</f>
        <v>3</v>
      </c>
      <c r="O337" s="2">
        <f>IF(J337&lt;&gt;"","",K337*M337)</f>
        <v>755300</v>
      </c>
      <c r="R337" s="1" t="str">
        <v>613,433)]&gt;$^when()why()where()how();</v>
      </c>
      <c r="S337" s="1" t="str">
        <v>262,94</v>
      </c>
      <c r="T337" s="1" t="str">
        <v>262</v>
      </c>
      <c r="U337" s="1" t="str">
        <v>94</v>
      </c>
      <c r="V337" s="1">
        <v>24628</v>
      </c>
      <c r="AH337" s="1" t="str">
        <v xml:space="preserve">30,409),)from() </v>
      </c>
      <c r="AI337" s="1" t="str">
        <v>30,409</v>
      </c>
      <c r="AJ337" s="1" t="str">
        <v>30</v>
      </c>
      <c r="AK337" s="1" t="str">
        <v>409</v>
      </c>
      <c r="AL337" s="1">
        <v>12270</v>
      </c>
    </row>
    <row r="338" spans="4:38" x14ac:dyDescent="0.3">
      <c r="D338" s="2">
        <v>335</v>
      </c>
      <c r="E338" s="2">
        <f>SEARCH("mul",$C$4,E337+1)</f>
        <v>8189</v>
      </c>
      <c r="F338" s="2" t="str">
        <f>MID($C$4,E338,$F$1)</f>
        <v>mul(972,441):mu</v>
      </c>
      <c r="G338" s="3">
        <f>SEARCH("(",F338)</f>
        <v>4</v>
      </c>
      <c r="H338" s="3">
        <f>SEARCH(",",F338)</f>
        <v>8</v>
      </c>
      <c r="I338" s="3">
        <f>SEARCH(")",F338)</f>
        <v>12</v>
      </c>
      <c r="J338" s="2" t="str">
        <f>IF(OR(ISERROR(G338),ISERROR(H338),ISERROR(I338)),"CORRUPT!","")</f>
        <v/>
      </c>
      <c r="K338" s="2" t="str">
        <f>IF(J338&lt;&gt;"","",MID(F338, G338+1, H338-G338-1))</f>
        <v>972</v>
      </c>
      <c r="L338" s="2">
        <f>IF(J338&lt;&gt;"","",LEN(K338))</f>
        <v>3</v>
      </c>
      <c r="M338" s="2" t="str">
        <f>IF(J338&lt;&gt;"","",MID(F338, H338+1, I338-H338-1))</f>
        <v>441</v>
      </c>
      <c r="N338" s="2">
        <f>IF(J338&lt;&gt;"","",LEN(M338))</f>
        <v>3</v>
      </c>
      <c r="O338" s="2">
        <f>IF(J338&lt;&gt;"","",K338*M338)</f>
        <v>428652</v>
      </c>
      <c r="R338" s="1" t="str">
        <v>978,314))$</v>
      </c>
      <c r="S338" s="1" t="str">
        <v>201,86</v>
      </c>
      <c r="T338" s="1" t="str">
        <v>201</v>
      </c>
      <c r="U338" s="1" t="str">
        <v>86</v>
      </c>
      <c r="V338" s="1">
        <v>17286</v>
      </c>
      <c r="AH338" s="1" t="str">
        <v>916,685what()how(){#/</v>
      </c>
      <c r="AI338" s="1" t="str">
        <v>916,685what(</v>
      </c>
      <c r="AJ338" s="1" t="str">
        <v>916</v>
      </c>
      <c r="AK338" s="1" t="str">
        <v>685what(</v>
      </c>
      <c r="AL338" s="1">
        <v>0</v>
      </c>
    </row>
    <row r="339" spans="4:38" x14ac:dyDescent="0.3">
      <c r="D339" s="2">
        <v>336</v>
      </c>
      <c r="E339" s="2">
        <f>SEARCH("mul",$C$4,E338+1)</f>
        <v>8202</v>
      </c>
      <c r="F339" s="2" t="str">
        <f>MID($C$4,E339,$F$1)</f>
        <v>mul(157,521)mul</v>
      </c>
      <c r="G339" s="3">
        <f>SEARCH("(",F339)</f>
        <v>4</v>
      </c>
      <c r="H339" s="3">
        <f>SEARCH(",",F339)</f>
        <v>8</v>
      </c>
      <c r="I339" s="3">
        <f>SEARCH(")",F339)</f>
        <v>12</v>
      </c>
      <c r="J339" s="2" t="str">
        <f>IF(OR(ISERROR(G339),ISERROR(H339),ISERROR(I339)),"CORRUPT!","")</f>
        <v/>
      </c>
      <c r="K339" s="2" t="str">
        <f>IF(J339&lt;&gt;"","",MID(F339, G339+1, H339-G339-1))</f>
        <v>157</v>
      </c>
      <c r="L339" s="2">
        <f>IF(J339&lt;&gt;"","",LEN(K339))</f>
        <v>3</v>
      </c>
      <c r="M339" s="2" t="str">
        <f>IF(J339&lt;&gt;"","",MID(F339, H339+1, I339-H339-1))</f>
        <v>521</v>
      </c>
      <c r="N339" s="2">
        <f>IF(J339&lt;&gt;"","",LEN(M339))</f>
        <v>3</v>
      </c>
      <c r="O339" s="2">
        <f>IF(J339&lt;&gt;"","",K339*M339)</f>
        <v>81797</v>
      </c>
      <c r="R339" s="1" t="str">
        <v>695,29)}</v>
      </c>
      <c r="S339" s="1" t="str">
        <v>876,626</v>
      </c>
      <c r="T339" s="1" t="str">
        <v>876</v>
      </c>
      <c r="U339" s="1" t="str">
        <v>626</v>
      </c>
      <c r="V339" s="1">
        <v>548376</v>
      </c>
      <c r="AH339" s="1" t="str">
        <v>494,862)&lt;who()&gt;-&amp;</v>
      </c>
      <c r="AI339" s="1" t="str">
        <v>494,862</v>
      </c>
      <c r="AJ339" s="1" t="str">
        <v>494</v>
      </c>
      <c r="AK339" s="1" t="str">
        <v>862</v>
      </c>
      <c r="AL339" s="1">
        <v>425828</v>
      </c>
    </row>
    <row r="340" spans="4:38" x14ac:dyDescent="0.3">
      <c r="D340" s="2">
        <v>337</v>
      </c>
      <c r="E340" s="2">
        <f>SEARCH("mul",$C$4,E339+1)</f>
        <v>8214</v>
      </c>
      <c r="F340" s="2" t="str">
        <f>MID($C$4,E340,$F$1)</f>
        <v>mul(43,224):$wh</v>
      </c>
      <c r="G340" s="3">
        <f>SEARCH("(",F340)</f>
        <v>4</v>
      </c>
      <c r="H340" s="3">
        <f>SEARCH(",",F340)</f>
        <v>7</v>
      </c>
      <c r="I340" s="3">
        <f>SEARCH(")",F340)</f>
        <v>11</v>
      </c>
      <c r="J340" s="2" t="str">
        <f>IF(OR(ISERROR(G340),ISERROR(H340),ISERROR(I340)),"CORRUPT!","")</f>
        <v/>
      </c>
      <c r="K340" s="2" t="str">
        <f>IF(J340&lt;&gt;"","",MID(F340, G340+1, H340-G340-1))</f>
        <v>43</v>
      </c>
      <c r="L340" s="2">
        <f>IF(J340&lt;&gt;"","",LEN(K340))</f>
        <v>2</v>
      </c>
      <c r="M340" s="2" t="str">
        <f>IF(J340&lt;&gt;"","",MID(F340, H340+1, I340-H340-1))</f>
        <v>224</v>
      </c>
      <c r="N340" s="2">
        <f>IF(J340&lt;&gt;"","",LEN(M340))</f>
        <v>3</v>
      </c>
      <c r="O340" s="2">
        <f>IF(J340&lt;&gt;"","",K340*M340)</f>
        <v>9632</v>
      </c>
      <c r="R340" s="1" t="str">
        <v>778,660){how()&lt;+$?</v>
      </c>
      <c r="S340" s="1" t="str">
        <v>174,750</v>
      </c>
      <c r="T340" s="1" t="str">
        <v>174</v>
      </c>
      <c r="U340" s="1" t="str">
        <v>750</v>
      </c>
      <c r="V340" s="1">
        <v>130500</v>
      </c>
      <c r="AH340" s="1" t="str">
        <v>814,480)!&amp;what()*</v>
      </c>
      <c r="AI340" s="1" t="str">
        <v>814,480</v>
      </c>
      <c r="AJ340" s="1" t="str">
        <v>814</v>
      </c>
      <c r="AK340" s="1" t="str">
        <v>480</v>
      </c>
      <c r="AL340" s="1">
        <v>390720</v>
      </c>
    </row>
    <row r="341" spans="4:38" x14ac:dyDescent="0.3">
      <c r="D341" s="2">
        <v>338</v>
      </c>
      <c r="E341" s="2">
        <f>SEARCH("mul",$C$4,E340+1)</f>
        <v>8246</v>
      </c>
      <c r="F341" s="2" t="str">
        <f>MID($C$4,E341,$F$1)</f>
        <v>mul(52,740)'mul</v>
      </c>
      <c r="G341" s="3">
        <f>SEARCH("(",F341)</f>
        <v>4</v>
      </c>
      <c r="H341" s="3">
        <f>SEARCH(",",F341)</f>
        <v>7</v>
      </c>
      <c r="I341" s="3">
        <f>SEARCH(")",F341)</f>
        <v>11</v>
      </c>
      <c r="J341" s="2" t="str">
        <f>IF(OR(ISERROR(G341),ISERROR(H341),ISERROR(I341)),"CORRUPT!","")</f>
        <v/>
      </c>
      <c r="K341" s="2" t="str">
        <f>IF(J341&lt;&gt;"","",MID(F341, G341+1, H341-G341-1))</f>
        <v>52</v>
      </c>
      <c r="L341" s="2">
        <f>IF(J341&lt;&gt;"","",LEN(K341))</f>
        <v>2</v>
      </c>
      <c r="M341" s="2" t="str">
        <f>IF(J341&lt;&gt;"","",MID(F341, H341+1, I341-H341-1))</f>
        <v>740</v>
      </c>
      <c r="N341" s="2">
        <f>IF(J341&lt;&gt;"","",LEN(M341))</f>
        <v>3</v>
      </c>
      <c r="O341" s="2">
        <f>IF(J341&lt;&gt;"","",K341*M341)</f>
        <v>38480</v>
      </c>
      <c r="R341" s="1" t="str">
        <v>402,606)select()+~$do()</v>
      </c>
      <c r="S341" s="1" t="str">
        <v>433,335</v>
      </c>
      <c r="T341" s="1" t="str">
        <v>433</v>
      </c>
      <c r="U341" s="1" t="str">
        <v>335</v>
      </c>
      <c r="V341" s="1">
        <v>145055</v>
      </c>
      <c r="AH341" s="1" t="str">
        <v>315,311)!when() @}*%#</v>
      </c>
      <c r="AI341" s="1" t="str">
        <v>315,311</v>
      </c>
      <c r="AJ341" s="1" t="str">
        <v>315</v>
      </c>
      <c r="AK341" s="1" t="str">
        <v>311</v>
      </c>
      <c r="AL341" s="1">
        <v>97965</v>
      </c>
    </row>
    <row r="342" spans="4:38" x14ac:dyDescent="0.3">
      <c r="D342" s="2">
        <v>339</v>
      </c>
      <c r="E342" s="2">
        <f>SEARCH("mul",$C$4,E341+1)</f>
        <v>8258</v>
      </c>
      <c r="F342" s="2" t="str">
        <f>MID($C$4,E342,$F$1)</f>
        <v>mul(136,716)sel</v>
      </c>
      <c r="G342" s="3">
        <f>SEARCH("(",F342)</f>
        <v>4</v>
      </c>
      <c r="H342" s="3">
        <f>SEARCH(",",F342)</f>
        <v>8</v>
      </c>
      <c r="I342" s="3">
        <f>SEARCH(")",F342)</f>
        <v>12</v>
      </c>
      <c r="J342" s="2" t="str">
        <f>IF(OR(ISERROR(G342),ISERROR(H342),ISERROR(I342)),"CORRUPT!","")</f>
        <v/>
      </c>
      <c r="K342" s="2" t="str">
        <f>IF(J342&lt;&gt;"","",MID(F342, G342+1, H342-G342-1))</f>
        <v>136</v>
      </c>
      <c r="L342" s="2">
        <f>IF(J342&lt;&gt;"","",LEN(K342))</f>
        <v>3</v>
      </c>
      <c r="M342" s="2" t="str">
        <f>IF(J342&lt;&gt;"","",MID(F342, H342+1, I342-H342-1))</f>
        <v>716</v>
      </c>
      <c r="N342" s="2">
        <f>IF(J342&lt;&gt;"","",LEN(M342))</f>
        <v>3</v>
      </c>
      <c r="O342" s="2">
        <f>IF(J342&lt;&gt;"","",K342*M342)</f>
        <v>97376</v>
      </c>
      <c r="R342" s="1" t="str">
        <v>262,94)how()why()))#'^$@mul}</v>
      </c>
      <c r="S342" s="1" t="str">
        <v>29,940</v>
      </c>
      <c r="T342" s="1" t="str">
        <v>29</v>
      </c>
      <c r="U342" s="1" t="str">
        <v>940</v>
      </c>
      <c r="V342" s="1">
        <v>27260</v>
      </c>
      <c r="AH342" s="1" t="str">
        <v>571,122)~*</v>
      </c>
      <c r="AI342" s="1" t="str">
        <v>571,122</v>
      </c>
      <c r="AJ342" s="1" t="str">
        <v>571</v>
      </c>
      <c r="AK342" s="1" t="str">
        <v>122</v>
      </c>
      <c r="AL342" s="1">
        <v>69662</v>
      </c>
    </row>
    <row r="343" spans="4:38" x14ac:dyDescent="0.3">
      <c r="D343" s="2">
        <v>340</v>
      </c>
      <c r="E343" s="2">
        <f>SEARCH("mul",$C$4,E342+1)</f>
        <v>8278</v>
      </c>
      <c r="F343" s="2" t="str">
        <f>MID($C$4,E343,$F$1)</f>
        <v>mul(613,433)]&gt;$</v>
      </c>
      <c r="G343" s="3">
        <f>SEARCH("(",F343)</f>
        <v>4</v>
      </c>
      <c r="H343" s="3">
        <f>SEARCH(",",F343)</f>
        <v>8</v>
      </c>
      <c r="I343" s="3">
        <f>SEARCH(")",F343)</f>
        <v>12</v>
      </c>
      <c r="J343" s="2" t="str">
        <f>IF(OR(ISERROR(G343),ISERROR(H343),ISERROR(I343)),"CORRUPT!","")</f>
        <v/>
      </c>
      <c r="K343" s="2" t="str">
        <f>IF(J343&lt;&gt;"","",MID(F343, G343+1, H343-G343-1))</f>
        <v>613</v>
      </c>
      <c r="L343" s="2">
        <f>IF(J343&lt;&gt;"","",LEN(K343))</f>
        <v>3</v>
      </c>
      <c r="M343" s="2" t="str">
        <f>IF(J343&lt;&gt;"","",MID(F343, H343+1, I343-H343-1))</f>
        <v>433</v>
      </c>
      <c r="N343" s="2">
        <f>IF(J343&lt;&gt;"","",LEN(M343))</f>
        <v>3</v>
      </c>
      <c r="O343" s="2">
        <f>IF(J343&lt;&gt;"","",K343*M343)</f>
        <v>265429</v>
      </c>
      <c r="R343" s="1" t="str">
        <v>201,86)*select()</v>
      </c>
      <c r="S343" s="1" t="str">
        <v>416,920</v>
      </c>
      <c r="T343" s="1" t="str">
        <v>416</v>
      </c>
      <c r="U343" s="1" t="str">
        <v>920</v>
      </c>
      <c r="V343" s="1">
        <v>382720</v>
      </c>
      <c r="AH343" s="1" t="str">
        <v>717,593))/</v>
      </c>
      <c r="AI343" s="1" t="str">
        <v>717,593</v>
      </c>
      <c r="AJ343" s="1" t="str">
        <v>717</v>
      </c>
      <c r="AK343" s="1" t="str">
        <v>593</v>
      </c>
      <c r="AL343" s="1">
        <v>425181</v>
      </c>
    </row>
    <row r="344" spans="4:38" x14ac:dyDescent="0.3">
      <c r="D344" s="2">
        <v>341</v>
      </c>
      <c r="E344" s="2">
        <f>SEARCH("mul",$C$4,E343+1)</f>
        <v>8318</v>
      </c>
      <c r="F344" s="2" t="str">
        <f>MID($C$4,E344,$F$1)</f>
        <v>mul(978,314))$m</v>
      </c>
      <c r="G344" s="3">
        <f>SEARCH("(",F344)</f>
        <v>4</v>
      </c>
      <c r="H344" s="3">
        <f>SEARCH(",",F344)</f>
        <v>8</v>
      </c>
      <c r="I344" s="3">
        <f>SEARCH(")",F344)</f>
        <v>12</v>
      </c>
      <c r="J344" s="2" t="str">
        <f>IF(OR(ISERROR(G344),ISERROR(H344),ISERROR(I344)),"CORRUPT!","")</f>
        <v/>
      </c>
      <c r="K344" s="2" t="str">
        <f>IF(J344&lt;&gt;"","",MID(F344, G344+1, H344-G344-1))</f>
        <v>978</v>
      </c>
      <c r="L344" s="2">
        <f>IF(J344&lt;&gt;"","",LEN(K344))</f>
        <v>3</v>
      </c>
      <c r="M344" s="2" t="str">
        <f>IF(J344&lt;&gt;"","",MID(F344, H344+1, I344-H344-1))</f>
        <v>314</v>
      </c>
      <c r="N344" s="2">
        <f>IF(J344&lt;&gt;"","",LEN(M344))</f>
        <v>3</v>
      </c>
      <c r="O344" s="2">
        <f>IF(J344&lt;&gt;"","",K344*M344)</f>
        <v>307092</v>
      </c>
      <c r="R344" s="1" t="str">
        <v>876,626)why()</v>
      </c>
      <c r="S344" s="1" t="str">
        <v>276,648</v>
      </c>
      <c r="T344" s="1" t="str">
        <v>276</v>
      </c>
      <c r="U344" s="1" t="str">
        <v>648</v>
      </c>
      <c r="V344" s="1">
        <v>178848</v>
      </c>
      <c r="AH344" s="1" t="str">
        <v>633,314)&lt;^{[%{when()-&lt;?</v>
      </c>
      <c r="AI344" s="1" t="str">
        <v>633,314</v>
      </c>
      <c r="AJ344" s="1" t="str">
        <v>633</v>
      </c>
      <c r="AK344" s="1" t="str">
        <v>314</v>
      </c>
      <c r="AL344" s="1">
        <v>198762</v>
      </c>
    </row>
    <row r="345" spans="4:38" x14ac:dyDescent="0.3">
      <c r="D345" s="2">
        <v>342</v>
      </c>
      <c r="E345" s="2">
        <f>SEARCH("mul",$C$4,E344+1)</f>
        <v>8332</v>
      </c>
      <c r="F345" s="2" t="str">
        <f>MID($C$4,E345,$F$1)</f>
        <v>mul(695,29)}mul</v>
      </c>
      <c r="G345" s="3">
        <f>SEARCH("(",F345)</f>
        <v>4</v>
      </c>
      <c r="H345" s="3">
        <f>SEARCH(",",F345)</f>
        <v>8</v>
      </c>
      <c r="I345" s="3">
        <f>SEARCH(")",F345)</f>
        <v>11</v>
      </c>
      <c r="J345" s="2" t="str">
        <f>IF(OR(ISERROR(G345),ISERROR(H345),ISERROR(I345)),"CORRUPT!","")</f>
        <v/>
      </c>
      <c r="K345" s="2" t="str">
        <f>IF(J345&lt;&gt;"","",MID(F345, G345+1, H345-G345-1))</f>
        <v>695</v>
      </c>
      <c r="L345" s="2">
        <f>IF(J345&lt;&gt;"","",LEN(K345))</f>
        <v>3</v>
      </c>
      <c r="M345" s="2" t="str">
        <f>IF(J345&lt;&gt;"","",MID(F345, H345+1, I345-H345-1))</f>
        <v>29</v>
      </c>
      <c r="N345" s="2">
        <f>IF(J345&lt;&gt;"","",LEN(M345))</f>
        <v>2</v>
      </c>
      <c r="O345" s="2">
        <f>IF(J345&lt;&gt;"","",K345*M345)</f>
        <v>20155</v>
      </c>
      <c r="R345" s="1" t="str">
        <v>174,750)where()(from()(</v>
      </c>
      <c r="S345" s="1" t="str">
        <v>636,17</v>
      </c>
      <c r="T345" s="1" t="str">
        <v>636</v>
      </c>
      <c r="U345" s="1" t="str">
        <v>17</v>
      </c>
      <c r="V345" s="1">
        <v>10812</v>
      </c>
      <c r="AH345" s="1" t="str">
        <v>26,322)</v>
      </c>
      <c r="AI345" s="1" t="str">
        <v>26,322</v>
      </c>
      <c r="AJ345" s="1" t="str">
        <v>26</v>
      </c>
      <c r="AK345" s="1" t="str">
        <v>322</v>
      </c>
      <c r="AL345" s="1">
        <v>8372</v>
      </c>
    </row>
    <row r="346" spans="4:38" x14ac:dyDescent="0.3">
      <c r="D346" s="2">
        <v>343</v>
      </c>
      <c r="E346" s="2">
        <f>SEARCH("mul",$C$4,E345+1)</f>
        <v>8344</v>
      </c>
      <c r="F346" s="2" t="str">
        <f>MID($C$4,E346,$F$1)</f>
        <v>mul(778,660){ho</v>
      </c>
      <c r="G346" s="3">
        <f>SEARCH("(",F346)</f>
        <v>4</v>
      </c>
      <c r="H346" s="3">
        <f>SEARCH(",",F346)</f>
        <v>8</v>
      </c>
      <c r="I346" s="3">
        <f>SEARCH(")",F346)</f>
        <v>12</v>
      </c>
      <c r="J346" s="2" t="str">
        <f>IF(OR(ISERROR(G346),ISERROR(H346),ISERROR(I346)),"CORRUPT!","")</f>
        <v/>
      </c>
      <c r="K346" s="2" t="str">
        <f>IF(J346&lt;&gt;"","",MID(F346, G346+1, H346-G346-1))</f>
        <v>778</v>
      </c>
      <c r="L346" s="2">
        <f>IF(J346&lt;&gt;"","",LEN(K346))</f>
        <v>3</v>
      </c>
      <c r="M346" s="2" t="str">
        <f>IF(J346&lt;&gt;"","",MID(F346, H346+1, I346-H346-1))</f>
        <v>660</v>
      </c>
      <c r="N346" s="2">
        <f>IF(J346&lt;&gt;"","",LEN(M346))</f>
        <v>3</v>
      </c>
      <c r="O346" s="2">
        <f>IF(J346&lt;&gt;"","",K346*M346)</f>
        <v>513480</v>
      </c>
      <c r="R346" s="1" t="str">
        <v>433,335)]@</v>
      </c>
      <c r="S346" s="1" t="str">
        <v>810,73</v>
      </c>
      <c r="T346" s="1" t="str">
        <v>810</v>
      </c>
      <c r="U346" s="1" t="str">
        <v>73</v>
      </c>
      <c r="V346" s="1">
        <v>59130</v>
      </c>
      <c r="AH346" s="1" t="str">
        <v>792;(?:^</v>
      </c>
      <c r="AI346" s="1" t="e">
        <v>#N/A</v>
      </c>
      <c r="AJ346" s="1" t="e">
        <v>#N/A</v>
      </c>
      <c r="AK346" s="1" t="e">
        <v>#N/A</v>
      </c>
      <c r="AL346" s="1">
        <v>0</v>
      </c>
    </row>
    <row r="347" spans="4:38" x14ac:dyDescent="0.3">
      <c r="D347" s="2">
        <v>344</v>
      </c>
      <c r="E347" s="2">
        <f>SEARCH("mul",$C$4,E346+1)</f>
        <v>8366</v>
      </c>
      <c r="F347" s="2" t="str">
        <f>MID($C$4,E347,$F$1)</f>
        <v>mul(402,606)sel</v>
      </c>
      <c r="G347" s="3">
        <f>SEARCH("(",F347)</f>
        <v>4</v>
      </c>
      <c r="H347" s="3">
        <f>SEARCH(",",F347)</f>
        <v>8</v>
      </c>
      <c r="I347" s="3">
        <f>SEARCH(")",F347)</f>
        <v>12</v>
      </c>
      <c r="J347" s="2" t="str">
        <f>IF(OR(ISERROR(G347),ISERROR(H347),ISERROR(I347)),"CORRUPT!","")</f>
        <v/>
      </c>
      <c r="K347" s="2" t="str">
        <f>IF(J347&lt;&gt;"","",MID(F347, G347+1, H347-G347-1))</f>
        <v>402</v>
      </c>
      <c r="L347" s="2">
        <f>IF(J347&lt;&gt;"","",LEN(K347))</f>
        <v>3</v>
      </c>
      <c r="M347" s="2" t="str">
        <f>IF(J347&lt;&gt;"","",MID(F347, H347+1, I347-H347-1))</f>
        <v>606</v>
      </c>
      <c r="N347" s="2">
        <f>IF(J347&lt;&gt;"","",LEN(M347))</f>
        <v>3</v>
      </c>
      <c r="O347" s="2">
        <f>IF(J347&lt;&gt;"","",K347*M347)</f>
        <v>243612</v>
      </c>
      <c r="R347" s="1" t="str">
        <v>29,940) :~what()$}where()select()</v>
      </c>
      <c r="S347" s="1" t="str">
        <v>241,497</v>
      </c>
      <c r="T347" s="1" t="str">
        <v>241</v>
      </c>
      <c r="U347" s="1" t="str">
        <v>497</v>
      </c>
      <c r="V347" s="1">
        <v>119777</v>
      </c>
      <c r="AH347" s="1" t="str">
        <v>592,551)&amp;from();%]who()&lt;,$</v>
      </c>
      <c r="AI347" s="1" t="str">
        <v>592,551</v>
      </c>
      <c r="AJ347" s="1" t="str">
        <v>592</v>
      </c>
      <c r="AK347" s="1" t="str">
        <v>551</v>
      </c>
      <c r="AL347" s="1">
        <v>326192</v>
      </c>
    </row>
    <row r="348" spans="4:38" x14ac:dyDescent="0.3">
      <c r="D348" s="2">
        <v>345</v>
      </c>
      <c r="E348" s="2">
        <f>SEARCH("mul",$C$4,E347+1)</f>
        <v>8393</v>
      </c>
      <c r="F348" s="2" t="str">
        <f>MID($C$4,E348,$F$1)</f>
        <v>mul(262,94)how(</v>
      </c>
      <c r="G348" s="3">
        <f>SEARCH("(",F348)</f>
        <v>4</v>
      </c>
      <c r="H348" s="3">
        <f>SEARCH(",",F348)</f>
        <v>8</v>
      </c>
      <c r="I348" s="3">
        <f>SEARCH(")",F348)</f>
        <v>11</v>
      </c>
      <c r="J348" s="2" t="str">
        <f>IF(OR(ISERROR(G348),ISERROR(H348),ISERROR(I348)),"CORRUPT!","")</f>
        <v/>
      </c>
      <c r="K348" s="2" t="str">
        <f>IF(J348&lt;&gt;"","",MID(F348, G348+1, H348-G348-1))</f>
        <v>262</v>
      </c>
      <c r="L348" s="2">
        <f>IF(J348&lt;&gt;"","",LEN(K348))</f>
        <v>3</v>
      </c>
      <c r="M348" s="2" t="str">
        <f>IF(J348&lt;&gt;"","",MID(F348, H348+1, I348-H348-1))</f>
        <v>94</v>
      </c>
      <c r="N348" s="2">
        <f>IF(J348&lt;&gt;"","",LEN(M348))</f>
        <v>2</v>
      </c>
      <c r="O348" s="2">
        <f>IF(J348&lt;&gt;"","",K348*M348)</f>
        <v>24628</v>
      </c>
      <c r="R348" s="1" t="str">
        <v>416,920)^&amp;%&lt;~^</v>
      </c>
      <c r="S348" s="1" t="str">
        <v>603,108</v>
      </c>
      <c r="T348" s="1" t="str">
        <v>603</v>
      </c>
      <c r="U348" s="1" t="str">
        <v>108</v>
      </c>
      <c r="V348" s="1">
        <v>65124</v>
      </c>
      <c r="AH348" s="1" t="str">
        <v>276,734):</v>
      </c>
      <c r="AI348" s="1" t="str">
        <v>276,734</v>
      </c>
      <c r="AJ348" s="1" t="str">
        <v>276</v>
      </c>
      <c r="AK348" s="1" t="str">
        <v>734</v>
      </c>
      <c r="AL348" s="1">
        <v>202584</v>
      </c>
    </row>
    <row r="349" spans="4:38" x14ac:dyDescent="0.3">
      <c r="D349" s="2">
        <v>346</v>
      </c>
      <c r="E349" s="2">
        <f>SEARCH("mul",$C$4,E348+1)</f>
        <v>8421</v>
      </c>
      <c r="F349" s="2" t="str">
        <f>MID($C$4,E349,$F$1)</f>
        <v>mul}mul(201,86)</v>
      </c>
      <c r="G349" s="3">
        <f>SEARCH("(",F349)</f>
        <v>8</v>
      </c>
      <c r="H349" s="3">
        <f>SEARCH(",",F349)</f>
        <v>12</v>
      </c>
      <c r="I349" s="3">
        <f>SEARCH(")",F349)</f>
        <v>15</v>
      </c>
      <c r="J349" s="2" t="str">
        <f>IF(OR(ISERROR(G349),ISERROR(H349),ISERROR(I349)),"CORRUPT!","")</f>
        <v/>
      </c>
      <c r="K349" s="2" t="str">
        <f>IF(J349&lt;&gt;"","",MID(F349, G349+1, H349-G349-1))</f>
        <v>201</v>
      </c>
      <c r="L349" s="2">
        <f>IF(J349&lt;&gt;"","",LEN(K349))</f>
        <v>3</v>
      </c>
      <c r="M349" s="2" t="str">
        <f>IF(J349&lt;&gt;"","",MID(F349, H349+1, I349-H349-1))</f>
        <v>86</v>
      </c>
      <c r="N349" s="2">
        <f>IF(J349&lt;&gt;"","",LEN(M349))</f>
        <v>2</v>
      </c>
      <c r="O349" s="2">
        <f>IF(J349&lt;&gt;"","",K349*M349)</f>
        <v>17286</v>
      </c>
      <c r="R349" s="1" t="str">
        <v>276,648)</v>
      </c>
      <c r="S349" s="1" t="str">
        <v>941,454</v>
      </c>
      <c r="T349" s="1" t="str">
        <v>941</v>
      </c>
      <c r="U349" s="1" t="str">
        <v>454</v>
      </c>
      <c r="V349" s="1">
        <v>427214</v>
      </c>
      <c r="AH349" s="1" t="str">
        <v>478,513)]when(637,697){mul&amp; @+'[+</v>
      </c>
      <c r="AI349" s="1" t="str">
        <v>478,513</v>
      </c>
      <c r="AJ349" s="1" t="str">
        <v>478</v>
      </c>
      <c r="AK349" s="1" t="str">
        <v>513</v>
      </c>
      <c r="AL349" s="1">
        <v>245214</v>
      </c>
    </row>
    <row r="350" spans="4:38" x14ac:dyDescent="0.3">
      <c r="D350" s="2">
        <v>347</v>
      </c>
      <c r="E350" s="2">
        <f>SEARCH("mul",$C$4,E349+1)</f>
        <v>8425</v>
      </c>
      <c r="F350" s="2" t="str">
        <f>MID($C$4,E350,$F$1)</f>
        <v>mul(201,86)*sel</v>
      </c>
      <c r="G350" s="3">
        <f>SEARCH("(",F350)</f>
        <v>4</v>
      </c>
      <c r="H350" s="3">
        <f>SEARCH(",",F350)</f>
        <v>8</v>
      </c>
      <c r="I350" s="3">
        <f>SEARCH(")",F350)</f>
        <v>11</v>
      </c>
      <c r="J350" s="2" t="str">
        <f>IF(OR(ISERROR(G350),ISERROR(H350),ISERROR(I350)),"CORRUPT!","")</f>
        <v/>
      </c>
      <c r="K350" s="2" t="str">
        <f>IF(J350&lt;&gt;"","",MID(F350, G350+1, H350-G350-1))</f>
        <v>201</v>
      </c>
      <c r="L350" s="2">
        <f>IF(J350&lt;&gt;"","",LEN(K350))</f>
        <v>3</v>
      </c>
      <c r="M350" s="2" t="str">
        <f>IF(J350&lt;&gt;"","",MID(F350, H350+1, I350-H350-1))</f>
        <v>86</v>
      </c>
      <c r="N350" s="2">
        <f>IF(J350&lt;&gt;"","",LEN(M350))</f>
        <v>2</v>
      </c>
      <c r="O350" s="2">
        <f>IF(J350&lt;&gt;"","",K350*M350)</f>
        <v>17286</v>
      </c>
      <c r="R350" s="1" t="str">
        <v>636,17);why()}-}</v>
      </c>
      <c r="S350" s="1" t="str">
        <v>510,523</v>
      </c>
      <c r="T350" s="1" t="str">
        <v>510</v>
      </c>
      <c r="U350" s="1" t="str">
        <v>523</v>
      </c>
      <c r="V350" s="1">
        <v>266730</v>
      </c>
      <c r="AH350" s="1" t="str">
        <v xml:space="preserve">848,726)how(),from()-!&amp;,&lt;#{+from()'! </v>
      </c>
      <c r="AI350" s="1" t="str">
        <v>848,726</v>
      </c>
      <c r="AJ350" s="1" t="str">
        <v>848</v>
      </c>
      <c r="AK350" s="1" t="str">
        <v>726</v>
      </c>
      <c r="AL350" s="1">
        <v>615648</v>
      </c>
    </row>
    <row r="351" spans="4:38" x14ac:dyDescent="0.3">
      <c r="D351" s="2">
        <v>348</v>
      </c>
      <c r="E351" s="2">
        <f>SEARCH("mul",$C$4,E350+1)</f>
        <v>8445</v>
      </c>
      <c r="F351" s="2" t="str">
        <f>MID($C$4,E351,$F$1)</f>
        <v>mul(876,626)why</v>
      </c>
      <c r="G351" s="3">
        <f>SEARCH("(",F351)</f>
        <v>4</v>
      </c>
      <c r="H351" s="3">
        <f>SEARCH(",",F351)</f>
        <v>8</v>
      </c>
      <c r="I351" s="3">
        <f>SEARCH(")",F351)</f>
        <v>12</v>
      </c>
      <c r="J351" s="2" t="str">
        <f>IF(OR(ISERROR(G351),ISERROR(H351),ISERROR(I351)),"CORRUPT!","")</f>
        <v/>
      </c>
      <c r="K351" s="2" t="str">
        <f>IF(J351&lt;&gt;"","",MID(F351, G351+1, H351-G351-1))</f>
        <v>876</v>
      </c>
      <c r="L351" s="2">
        <f>IF(J351&lt;&gt;"","",LEN(K351))</f>
        <v>3</v>
      </c>
      <c r="M351" s="2" t="str">
        <f>IF(J351&lt;&gt;"","",MID(F351, H351+1, I351-H351-1))</f>
        <v>626</v>
      </c>
      <c r="N351" s="2">
        <f>IF(J351&lt;&gt;"","",LEN(M351))</f>
        <v>3</v>
      </c>
      <c r="O351" s="2">
        <f>IF(J351&lt;&gt;"","",K351*M351)</f>
        <v>548376</v>
      </c>
      <c r="R351" s="1" t="str">
        <v>810,73)&lt;@} how():from(900,831)what()</v>
      </c>
      <c r="S351" s="1" t="str">
        <v>584,102</v>
      </c>
      <c r="T351" s="1" t="str">
        <v>584</v>
      </c>
      <c r="U351" s="1" t="str">
        <v>102</v>
      </c>
      <c r="V351" s="1">
        <v>59568</v>
      </c>
      <c r="AH351" s="1" t="str">
        <v>608,319)(</v>
      </c>
      <c r="AI351" s="1" t="str">
        <v>608,319</v>
      </c>
      <c r="AJ351" s="1" t="str">
        <v>608</v>
      </c>
      <c r="AK351" s="1" t="str">
        <v>319</v>
      </c>
      <c r="AL351" s="1">
        <v>193952</v>
      </c>
    </row>
    <row r="352" spans="4:38" x14ac:dyDescent="0.3">
      <c r="D352" s="2">
        <v>349</v>
      </c>
      <c r="E352" s="2">
        <f>SEARCH("mul",$C$4,E351+1)</f>
        <v>8462</v>
      </c>
      <c r="F352" s="2" t="str">
        <f>MID($C$4,E352,$F$1)</f>
        <v>mul(174,750)whe</v>
      </c>
      <c r="G352" s="3">
        <f>SEARCH("(",F352)</f>
        <v>4</v>
      </c>
      <c r="H352" s="3">
        <f>SEARCH(",",F352)</f>
        <v>8</v>
      </c>
      <c r="I352" s="3">
        <f>SEARCH(")",F352)</f>
        <v>12</v>
      </c>
      <c r="J352" s="2" t="str">
        <f>IF(OR(ISERROR(G352),ISERROR(H352),ISERROR(I352)),"CORRUPT!","")</f>
        <v/>
      </c>
      <c r="K352" s="2" t="str">
        <f>IF(J352&lt;&gt;"","",MID(F352, G352+1, H352-G352-1))</f>
        <v>174</v>
      </c>
      <c r="L352" s="2">
        <f>IF(J352&lt;&gt;"","",LEN(K352))</f>
        <v>3</v>
      </c>
      <c r="M352" s="2" t="str">
        <f>IF(J352&lt;&gt;"","",MID(F352, H352+1, I352-H352-1))</f>
        <v>750</v>
      </c>
      <c r="N352" s="2">
        <f>IF(J352&lt;&gt;"","",LEN(M352))</f>
        <v>3</v>
      </c>
      <c r="O352" s="2">
        <f>IF(J352&lt;&gt;"","",K352*M352)</f>
        <v>130500</v>
      </c>
      <c r="R352" s="1" t="str">
        <v>241,497)select()when()'&amp;{</v>
      </c>
      <c r="S352" s="1" t="str">
        <v>907,301</v>
      </c>
      <c r="T352" s="1" t="str">
        <v>907</v>
      </c>
      <c r="U352" s="1" t="str">
        <v>301</v>
      </c>
      <c r="V352" s="1">
        <v>273007</v>
      </c>
      <c r="AH352" s="1" t="str">
        <v>225,187)%%(&lt;,@#+%select()</v>
      </c>
      <c r="AI352" s="1" t="str">
        <v>225,187</v>
      </c>
      <c r="AJ352" s="1" t="str">
        <v>225</v>
      </c>
      <c r="AK352" s="1" t="str">
        <v>187</v>
      </c>
      <c r="AL352" s="1">
        <v>42075</v>
      </c>
    </row>
    <row r="353" spans="4:38" x14ac:dyDescent="0.3">
      <c r="D353" s="2">
        <v>350</v>
      </c>
      <c r="E353" s="2">
        <f>SEARCH("mul",$C$4,E352+1)</f>
        <v>8489</v>
      </c>
      <c r="F353" s="2" t="str">
        <f>MID($C$4,E353,$F$1)</f>
        <v>mul(433,335)]@m</v>
      </c>
      <c r="G353" s="3">
        <f>SEARCH("(",F353)</f>
        <v>4</v>
      </c>
      <c r="H353" s="3">
        <f>SEARCH(",",F353)</f>
        <v>8</v>
      </c>
      <c r="I353" s="3">
        <f>SEARCH(")",F353)</f>
        <v>12</v>
      </c>
      <c r="J353" s="2" t="str">
        <f>IF(OR(ISERROR(G353),ISERROR(H353),ISERROR(I353)),"CORRUPT!","")</f>
        <v/>
      </c>
      <c r="K353" s="2" t="str">
        <f>IF(J353&lt;&gt;"","",MID(F353, G353+1, H353-G353-1))</f>
        <v>433</v>
      </c>
      <c r="L353" s="2">
        <f>IF(J353&lt;&gt;"","",LEN(K353))</f>
        <v>3</v>
      </c>
      <c r="M353" s="2" t="str">
        <f>IF(J353&lt;&gt;"","",MID(F353, H353+1, I353-H353-1))</f>
        <v>335</v>
      </c>
      <c r="N353" s="2">
        <f>IF(J353&lt;&gt;"","",LEN(M353))</f>
        <v>3</v>
      </c>
      <c r="O353" s="2">
        <f>IF(J353&lt;&gt;"","",K353*M353)</f>
        <v>145055</v>
      </c>
      <c r="R353" s="1" t="str">
        <v>603,108):[,</v>
      </c>
      <c r="S353" s="1" t="str">
        <v>980,625</v>
      </c>
      <c r="T353" s="1" t="str">
        <v>980</v>
      </c>
      <c r="U353" s="1" t="str">
        <v>625</v>
      </c>
      <c r="V353" s="1">
        <v>612500</v>
      </c>
      <c r="AH353" s="1" t="str">
        <v>130,278)!select()}&lt;when()where()</v>
      </c>
      <c r="AI353" s="1" t="str">
        <v>130,278</v>
      </c>
      <c r="AJ353" s="1" t="str">
        <v>130</v>
      </c>
      <c r="AK353" s="1" t="str">
        <v>278</v>
      </c>
      <c r="AL353" s="1">
        <v>36140</v>
      </c>
    </row>
    <row r="354" spans="4:38" x14ac:dyDescent="0.3">
      <c r="D354" s="2">
        <v>351</v>
      </c>
      <c r="E354" s="2">
        <f>SEARCH("mul",$C$4,E353+1)</f>
        <v>8503</v>
      </c>
      <c r="F354" s="2" t="str">
        <f>MID($C$4,E354,$F$1)</f>
        <v>mul(29,940) :~w</v>
      </c>
      <c r="G354" s="3">
        <f>SEARCH("(",F354)</f>
        <v>4</v>
      </c>
      <c r="H354" s="3">
        <f>SEARCH(",",F354)</f>
        <v>7</v>
      </c>
      <c r="I354" s="3">
        <f>SEARCH(")",F354)</f>
        <v>11</v>
      </c>
      <c r="J354" s="2" t="str">
        <f>IF(OR(ISERROR(G354),ISERROR(H354),ISERROR(I354)),"CORRUPT!","")</f>
        <v/>
      </c>
      <c r="K354" s="2" t="str">
        <f>IF(J354&lt;&gt;"","",MID(F354, G354+1, H354-G354-1))</f>
        <v>29</v>
      </c>
      <c r="L354" s="2">
        <f>IF(J354&lt;&gt;"","",LEN(K354))</f>
        <v>2</v>
      </c>
      <c r="M354" s="2" t="str">
        <f>IF(J354&lt;&gt;"","",MID(F354, H354+1, I354-H354-1))</f>
        <v>940</v>
      </c>
      <c r="N354" s="2">
        <f>IF(J354&lt;&gt;"","",LEN(M354))</f>
        <v>3</v>
      </c>
      <c r="O354" s="2">
        <f>IF(J354&lt;&gt;"","",K354*M354)</f>
        <v>27260</v>
      </c>
      <c r="R354" s="1" t="str">
        <v>941,454) $@mul&gt;@&lt;}'[, $</v>
      </c>
      <c r="S354" s="1" t="str">
        <v>544,917</v>
      </c>
      <c r="T354" s="1" t="str">
        <v>544</v>
      </c>
      <c r="U354" s="1" t="str">
        <v>917</v>
      </c>
      <c r="V354" s="1">
        <v>498848</v>
      </c>
      <c r="AH354" s="1" t="str">
        <v>348,92):from()[</v>
      </c>
      <c r="AI354" s="1" t="str">
        <v>348,92</v>
      </c>
      <c r="AJ354" s="1" t="str">
        <v>348</v>
      </c>
      <c r="AK354" s="1" t="str">
        <v>92</v>
      </c>
      <c r="AL354" s="1">
        <v>32016</v>
      </c>
    </row>
    <row r="355" spans="4:38" x14ac:dyDescent="0.3">
      <c r="D355" s="2">
        <v>352</v>
      </c>
      <c r="E355" s="2">
        <f>SEARCH("mul",$C$4,E354+1)</f>
        <v>8540</v>
      </c>
      <c r="F355" s="2" t="str">
        <f>MID($C$4,E355,$F$1)</f>
        <v>mul(416,920)^&amp;%</v>
      </c>
      <c r="G355" s="3">
        <f>SEARCH("(",F355)</f>
        <v>4</v>
      </c>
      <c r="H355" s="3">
        <f>SEARCH(",",F355)</f>
        <v>8</v>
      </c>
      <c r="I355" s="3">
        <f>SEARCH(")",F355)</f>
        <v>12</v>
      </c>
      <c r="J355" s="2" t="str">
        <f>IF(OR(ISERROR(G355),ISERROR(H355),ISERROR(I355)),"CORRUPT!","")</f>
        <v/>
      </c>
      <c r="K355" s="2" t="str">
        <f>IF(J355&lt;&gt;"","",MID(F355, G355+1, H355-G355-1))</f>
        <v>416</v>
      </c>
      <c r="L355" s="2">
        <f>IF(J355&lt;&gt;"","",LEN(K355))</f>
        <v>3</v>
      </c>
      <c r="M355" s="2" t="str">
        <f>IF(J355&lt;&gt;"","",MID(F355, H355+1, I355-H355-1))</f>
        <v>920</v>
      </c>
      <c r="N355" s="2">
        <f>IF(J355&lt;&gt;"","",LEN(M355))</f>
        <v>3</v>
      </c>
      <c r="O355" s="2">
        <f>IF(J355&lt;&gt;"","",K355*M355)</f>
        <v>382720</v>
      </c>
      <c r="R355" s="1" t="str">
        <v>510,523)where(), ~];</v>
      </c>
      <c r="S355" s="1" t="str">
        <v>628,364</v>
      </c>
      <c r="T355" s="1" t="str">
        <v>628</v>
      </c>
      <c r="U355" s="1" t="str">
        <v>364</v>
      </c>
      <c r="V355" s="1">
        <v>228592</v>
      </c>
      <c r="AH355" s="1" t="str">
        <v>483,262)*+&amp;&amp;}$</v>
      </c>
      <c r="AI355" s="1" t="str">
        <v>483,262</v>
      </c>
      <c r="AJ355" s="1" t="str">
        <v>483</v>
      </c>
      <c r="AK355" s="1" t="str">
        <v>262</v>
      </c>
      <c r="AL355" s="1">
        <v>126546</v>
      </c>
    </row>
    <row r="356" spans="4:38" x14ac:dyDescent="0.3">
      <c r="D356" s="2">
        <v>353</v>
      </c>
      <c r="E356" s="2">
        <f>SEARCH("mul",$C$4,E355+1)</f>
        <v>8558</v>
      </c>
      <c r="F356" s="2" t="str">
        <f>MID($C$4,E356,$F$1)</f>
        <v>mul(276,648)mul</v>
      </c>
      <c r="G356" s="3">
        <f>SEARCH("(",F356)</f>
        <v>4</v>
      </c>
      <c r="H356" s="3">
        <f>SEARCH(",",F356)</f>
        <v>8</v>
      </c>
      <c r="I356" s="3">
        <f>SEARCH(")",F356)</f>
        <v>12</v>
      </c>
      <c r="J356" s="2" t="str">
        <f>IF(OR(ISERROR(G356),ISERROR(H356),ISERROR(I356)),"CORRUPT!","")</f>
        <v/>
      </c>
      <c r="K356" s="2" t="str">
        <f>IF(J356&lt;&gt;"","",MID(F356, G356+1, H356-G356-1))</f>
        <v>276</v>
      </c>
      <c r="L356" s="2">
        <f>IF(J356&lt;&gt;"","",LEN(K356))</f>
        <v>3</v>
      </c>
      <c r="M356" s="2" t="str">
        <f>IF(J356&lt;&gt;"","",MID(F356, H356+1, I356-H356-1))</f>
        <v>648</v>
      </c>
      <c r="N356" s="2">
        <f>IF(J356&lt;&gt;"","",LEN(M356))</f>
        <v>3</v>
      </c>
      <c r="O356" s="2">
        <f>IF(J356&lt;&gt;"","",K356*M356)</f>
        <v>178848</v>
      </c>
      <c r="R356" s="1" t="str">
        <v>584,102)&lt;when()</v>
      </c>
      <c r="S356" s="1" t="str">
        <v>95,412</v>
      </c>
      <c r="T356" s="1" t="str">
        <v>95</v>
      </c>
      <c r="U356" s="1" t="str">
        <v>412</v>
      </c>
      <c r="V356" s="1">
        <v>39140</v>
      </c>
      <c r="AH356" s="1" t="str">
        <v>500,537)%(what()what()select()+^;what()(&amp;/{</v>
      </c>
      <c r="AI356" s="1" t="str">
        <v>500,537</v>
      </c>
      <c r="AJ356" s="1" t="str">
        <v>500</v>
      </c>
      <c r="AK356" s="1" t="str">
        <v>537</v>
      </c>
      <c r="AL356" s="1">
        <v>268500</v>
      </c>
    </row>
    <row r="357" spans="4:38" x14ac:dyDescent="0.3">
      <c r="D357" s="2">
        <v>354</v>
      </c>
      <c r="E357" s="2">
        <f>SEARCH("mul",$C$4,E356+1)</f>
        <v>8570</v>
      </c>
      <c r="F357" s="2" t="str">
        <f>MID($C$4,E357,$F$1)</f>
        <v>mul(636,17);why</v>
      </c>
      <c r="G357" s="3">
        <f>SEARCH("(",F357)</f>
        <v>4</v>
      </c>
      <c r="H357" s="3">
        <f>SEARCH(",",F357)</f>
        <v>8</v>
      </c>
      <c r="I357" s="3">
        <f>SEARCH(")",F357)</f>
        <v>11</v>
      </c>
      <c r="J357" s="2" t="str">
        <f>IF(OR(ISERROR(G357),ISERROR(H357),ISERROR(I357)),"CORRUPT!","")</f>
        <v/>
      </c>
      <c r="K357" s="2" t="str">
        <f>IF(J357&lt;&gt;"","",MID(F357, G357+1, H357-G357-1))</f>
        <v>636</v>
      </c>
      <c r="L357" s="2">
        <f>IF(J357&lt;&gt;"","",LEN(K357))</f>
        <v>3</v>
      </c>
      <c r="M357" s="2" t="str">
        <f>IF(J357&lt;&gt;"","",MID(F357, H357+1, I357-H357-1))</f>
        <v>17</v>
      </c>
      <c r="N357" s="2">
        <f>IF(J357&lt;&gt;"","",LEN(M357))</f>
        <v>2</v>
      </c>
      <c r="O357" s="2">
        <f>IF(J357&lt;&gt;"","",K357*M357)</f>
        <v>10812</v>
      </c>
      <c r="R357" s="1" t="str">
        <v>907,301)]#select()select();{how()select()what()?</v>
      </c>
      <c r="S357" s="1" t="str">
        <v>127,442</v>
      </c>
      <c r="T357" s="1" t="str">
        <v>127</v>
      </c>
      <c r="U357" s="1" t="str">
        <v>442</v>
      </c>
      <c r="V357" s="1">
        <v>56134</v>
      </c>
      <c r="AH357" s="1" t="str">
        <v>174,160)&amp;+~:</v>
      </c>
      <c r="AI357" s="1" t="str">
        <v>174,160</v>
      </c>
      <c r="AJ357" s="1" t="str">
        <v>174</v>
      </c>
      <c r="AK357" s="1" t="str">
        <v>160</v>
      </c>
      <c r="AL357" s="1">
        <v>27840</v>
      </c>
    </row>
    <row r="358" spans="4:38" x14ac:dyDescent="0.3">
      <c r="D358" s="2">
        <v>355</v>
      </c>
      <c r="E358" s="2">
        <f>SEARCH("mul",$C$4,E357+1)</f>
        <v>8590</v>
      </c>
      <c r="F358" s="2" t="str">
        <f>MID($C$4,E358,$F$1)</f>
        <v xml:space="preserve">mul(810,73)&lt;@} </v>
      </c>
      <c r="G358" s="3">
        <f>SEARCH("(",F358)</f>
        <v>4</v>
      </c>
      <c r="H358" s="3">
        <f>SEARCH(",",F358)</f>
        <v>8</v>
      </c>
      <c r="I358" s="3">
        <f>SEARCH(")",F358)</f>
        <v>11</v>
      </c>
      <c r="J358" s="2" t="str">
        <f>IF(OR(ISERROR(G358),ISERROR(H358),ISERROR(I358)),"CORRUPT!","")</f>
        <v/>
      </c>
      <c r="K358" s="2" t="str">
        <f>IF(J358&lt;&gt;"","",MID(F358, G358+1, H358-G358-1))</f>
        <v>810</v>
      </c>
      <c r="L358" s="2">
        <f>IF(J358&lt;&gt;"","",LEN(K358))</f>
        <v>3</v>
      </c>
      <c r="M358" s="2" t="str">
        <f>IF(J358&lt;&gt;"","",MID(F358, H358+1, I358-H358-1))</f>
        <v>73</v>
      </c>
      <c r="N358" s="2">
        <f>IF(J358&lt;&gt;"","",LEN(M358))</f>
        <v>2</v>
      </c>
      <c r="O358" s="2">
        <f>IF(J358&lt;&gt;"","",K358*M358)</f>
        <v>59130</v>
      </c>
      <c r="R358" s="1" t="str">
        <v>980,625)select())where(){:^</v>
      </c>
      <c r="S358" s="1" t="str">
        <v>658,920</v>
      </c>
      <c r="T358" s="1" t="str">
        <v>658</v>
      </c>
      <c r="U358" s="1" t="str">
        <v>920</v>
      </c>
      <c r="V358" s="1">
        <v>605360</v>
      </c>
      <c r="AH358" s="1" t="str">
        <v>100,237)&lt;</v>
      </c>
      <c r="AI358" s="1" t="str">
        <v>100,237</v>
      </c>
      <c r="AJ358" s="1" t="str">
        <v>100</v>
      </c>
      <c r="AK358" s="1" t="str">
        <v>237</v>
      </c>
      <c r="AL358" s="1">
        <v>23700</v>
      </c>
    </row>
    <row r="359" spans="4:38" x14ac:dyDescent="0.3">
      <c r="D359" s="2">
        <v>356</v>
      </c>
      <c r="E359" s="2">
        <f>SEARCH("mul",$C$4,E358+1)</f>
        <v>8630</v>
      </c>
      <c r="F359" s="2" t="str">
        <f>MID($C$4,E359,$F$1)</f>
        <v>mul(241,497)sel</v>
      </c>
      <c r="G359" s="3">
        <f>SEARCH("(",F359)</f>
        <v>4</v>
      </c>
      <c r="H359" s="3">
        <f>SEARCH(",",F359)</f>
        <v>8</v>
      </c>
      <c r="I359" s="3">
        <f>SEARCH(")",F359)</f>
        <v>12</v>
      </c>
      <c r="J359" s="2" t="str">
        <f>IF(OR(ISERROR(G359),ISERROR(H359),ISERROR(I359)),"CORRUPT!","")</f>
        <v/>
      </c>
      <c r="K359" s="2" t="str">
        <f>IF(J359&lt;&gt;"","",MID(F359, G359+1, H359-G359-1))</f>
        <v>241</v>
      </c>
      <c r="L359" s="2">
        <f>IF(J359&lt;&gt;"","",LEN(K359))</f>
        <v>3</v>
      </c>
      <c r="M359" s="2" t="str">
        <f>IF(J359&lt;&gt;"","",MID(F359, H359+1, I359-H359-1))</f>
        <v>497</v>
      </c>
      <c r="N359" s="2">
        <f>IF(J359&lt;&gt;"","",LEN(M359))</f>
        <v>3</v>
      </c>
      <c r="O359" s="2">
        <f>IF(J359&lt;&gt;"","",K359*M359)</f>
        <v>119777</v>
      </c>
      <c r="R359" s="1" t="str">
        <v>544,917)((how()['who()</v>
      </c>
      <c r="S359" s="1" t="str">
        <v>45,446</v>
      </c>
      <c r="T359" s="1" t="str">
        <v>45</v>
      </c>
      <c r="U359" s="1" t="str">
        <v>446</v>
      </c>
      <c r="V359" s="1">
        <v>20070</v>
      </c>
      <c r="AH359" s="1" t="str">
        <v>234,939)</v>
      </c>
      <c r="AI359" s="1" t="str">
        <v>234,939</v>
      </c>
      <c r="AJ359" s="1" t="str">
        <v>234</v>
      </c>
      <c r="AK359" s="1" t="str">
        <v>939</v>
      </c>
      <c r="AL359" s="1">
        <v>219726</v>
      </c>
    </row>
    <row r="360" spans="4:38" x14ac:dyDescent="0.3">
      <c r="D360" s="2">
        <v>357</v>
      </c>
      <c r="E360" s="2">
        <f>SEARCH("mul",$C$4,E359+1)</f>
        <v>8659</v>
      </c>
      <c r="F360" s="2" t="str">
        <f>MID($C$4,E360,$F$1)</f>
        <v>mul(603,108):[,</v>
      </c>
      <c r="G360" s="3">
        <f>SEARCH("(",F360)</f>
        <v>4</v>
      </c>
      <c r="H360" s="3">
        <f>SEARCH(",",F360)</f>
        <v>8</v>
      </c>
      <c r="I360" s="3">
        <f>SEARCH(")",F360)</f>
        <v>12</v>
      </c>
      <c r="J360" s="2" t="str">
        <f>IF(OR(ISERROR(G360),ISERROR(H360),ISERROR(I360)),"CORRUPT!","")</f>
        <v/>
      </c>
      <c r="K360" s="2" t="str">
        <f>IF(J360&lt;&gt;"","",MID(F360, G360+1, H360-G360-1))</f>
        <v>603</v>
      </c>
      <c r="L360" s="2">
        <f>IF(J360&lt;&gt;"","",LEN(K360))</f>
        <v>3</v>
      </c>
      <c r="M360" s="2" t="str">
        <f>IF(J360&lt;&gt;"","",MID(F360, H360+1, I360-H360-1))</f>
        <v>108</v>
      </c>
      <c r="N360" s="2">
        <f>IF(J360&lt;&gt;"","",LEN(M360))</f>
        <v>3</v>
      </c>
      <c r="O360" s="2">
        <f>IF(J360&lt;&gt;"","",K360*M360)</f>
        <v>65124</v>
      </c>
      <c r="R360" s="1" t="str">
        <v>628,364)who(272,887)@!^@{+~{don't()when() )(from()what()when()-</v>
      </c>
      <c r="S360" s="1" t="str">
        <v>304};do(</v>
      </c>
      <c r="T360" s="1" t="e">
        <v>#N/A</v>
      </c>
      <c r="U360" s="1" t="e">
        <v>#N/A</v>
      </c>
      <c r="V360" s="1">
        <v>0</v>
      </c>
      <c r="AH360" s="1" t="str">
        <v>328,456)</v>
      </c>
      <c r="AI360" s="1" t="str">
        <v>328,456</v>
      </c>
      <c r="AJ360" s="1" t="str">
        <v>328</v>
      </c>
      <c r="AK360" s="1" t="str">
        <v>456</v>
      </c>
      <c r="AL360" s="1">
        <v>149568</v>
      </c>
    </row>
    <row r="361" spans="4:38" x14ac:dyDescent="0.3">
      <c r="D361" s="2">
        <v>358</v>
      </c>
      <c r="E361" s="2">
        <f>SEARCH("mul",$C$4,E360+1)</f>
        <v>8674</v>
      </c>
      <c r="F361" s="2" t="str">
        <f>MID($C$4,E361,$F$1)</f>
        <v>mul(941,454) $@</v>
      </c>
      <c r="G361" s="3">
        <f>SEARCH("(",F361)</f>
        <v>4</v>
      </c>
      <c r="H361" s="3">
        <f>SEARCH(",",F361)</f>
        <v>8</v>
      </c>
      <c r="I361" s="3">
        <f>SEARCH(")",F361)</f>
        <v>12</v>
      </c>
      <c r="J361" s="2" t="str">
        <f>IF(OR(ISERROR(G361),ISERROR(H361),ISERROR(I361)),"CORRUPT!","")</f>
        <v/>
      </c>
      <c r="K361" s="2" t="str">
        <f>IF(J361&lt;&gt;"","",MID(F361, G361+1, H361-G361-1))</f>
        <v>941</v>
      </c>
      <c r="L361" s="2">
        <f>IF(J361&lt;&gt;"","",LEN(K361))</f>
        <v>3</v>
      </c>
      <c r="M361" s="2" t="str">
        <f>IF(J361&lt;&gt;"","",MID(F361, H361+1, I361-H361-1))</f>
        <v>454</v>
      </c>
      <c r="N361" s="2">
        <f>IF(J361&lt;&gt;"","",LEN(M361))</f>
        <v>3</v>
      </c>
      <c r="O361" s="2">
        <f>IF(J361&lt;&gt;"","",K361*M361)</f>
        <v>427214</v>
      </c>
      <c r="R361" s="1" t="str">
        <v>95,412)(</v>
      </c>
      <c r="S361" s="1" t="str">
        <v>181,603</v>
      </c>
      <c r="T361" s="1" t="str">
        <v>181</v>
      </c>
      <c r="U361" s="1" t="str">
        <v>603</v>
      </c>
      <c r="V361" s="1">
        <v>109143</v>
      </c>
      <c r="AH361" s="1" t="str">
        <v>427,653))where()why(162,868){,</v>
      </c>
      <c r="AI361" s="1" t="str">
        <v>427,653</v>
      </c>
      <c r="AJ361" s="1" t="str">
        <v>427</v>
      </c>
      <c r="AK361" s="1" t="str">
        <v>653</v>
      </c>
      <c r="AL361" s="1">
        <v>278831</v>
      </c>
    </row>
    <row r="362" spans="4:38" x14ac:dyDescent="0.3">
      <c r="D362" s="2">
        <v>359</v>
      </c>
      <c r="E362" s="2">
        <f>SEARCH("mul",$C$4,E361+1)</f>
        <v>8689</v>
      </c>
      <c r="F362" s="2" t="str">
        <f>MID($C$4,E362,$F$1)</f>
        <v>mul&gt;@&lt;}'[, $mul</v>
      </c>
      <c r="G362" s="3" t="e">
        <f>SEARCH("(",F362)</f>
        <v>#VALUE!</v>
      </c>
      <c r="H362" s="3">
        <f>SEARCH(",",F362)</f>
        <v>10</v>
      </c>
      <c r="I362" s="3" t="e">
        <f>SEARCH(")",F362)</f>
        <v>#VALUE!</v>
      </c>
      <c r="J362" s="2" t="str">
        <f>IF(OR(ISERROR(G362),ISERROR(H362),ISERROR(I362)),"CORRUPT!","")</f>
        <v>CORRUPT!</v>
      </c>
      <c r="K362" s="2" t="str">
        <f>IF(J362&lt;&gt;"","",MID(F362, G362+1, H362-G362-1))</f>
        <v/>
      </c>
      <c r="L362" s="2" t="str">
        <f>IF(J362&lt;&gt;"","",LEN(K362))</f>
        <v/>
      </c>
      <c r="M362" s="2" t="str">
        <f>IF(J362&lt;&gt;"","",MID(F362, H362+1, I362-H362-1))</f>
        <v/>
      </c>
      <c r="N362" s="2" t="str">
        <f>IF(J362&lt;&gt;"","",LEN(M362))</f>
        <v/>
      </c>
      <c r="O362" s="2" t="str">
        <f>IF(J362&lt;&gt;"","",K362*M362)</f>
        <v/>
      </c>
      <c r="R362" s="1" t="str">
        <v>127,442)/</v>
      </c>
      <c r="S362" s="1" t="str">
        <v>381,353</v>
      </c>
      <c r="T362" s="1" t="str">
        <v>381</v>
      </c>
      <c r="U362" s="1" t="str">
        <v>353</v>
      </c>
      <c r="V362" s="1">
        <v>134493</v>
      </c>
      <c r="AH362" s="1" t="str">
        <v>58,176)'}why()from()&amp;'why()?</v>
      </c>
      <c r="AI362" s="1" t="str">
        <v>58,176</v>
      </c>
      <c r="AJ362" s="1" t="str">
        <v>58</v>
      </c>
      <c r="AK362" s="1" t="str">
        <v>176</v>
      </c>
      <c r="AL362" s="1">
        <v>10208</v>
      </c>
    </row>
    <row r="363" spans="4:38" x14ac:dyDescent="0.3">
      <c r="D363" s="2">
        <v>360</v>
      </c>
      <c r="E363" s="2">
        <f>SEARCH("mul",$C$4,E362+1)</f>
        <v>8701</v>
      </c>
      <c r="F363" s="2" t="str">
        <f>MID($C$4,E363,$F$1)</f>
        <v>mul(510,523)whe</v>
      </c>
      <c r="G363" s="3">
        <f>SEARCH("(",F363)</f>
        <v>4</v>
      </c>
      <c r="H363" s="3">
        <f>SEARCH(",",F363)</f>
        <v>8</v>
      </c>
      <c r="I363" s="3">
        <f>SEARCH(")",F363)</f>
        <v>12</v>
      </c>
      <c r="J363" s="2" t="str">
        <f>IF(OR(ISERROR(G363),ISERROR(H363),ISERROR(I363)),"CORRUPT!","")</f>
        <v/>
      </c>
      <c r="K363" s="2" t="str">
        <f>IF(J363&lt;&gt;"","",MID(F363, G363+1, H363-G363-1))</f>
        <v>510</v>
      </c>
      <c r="L363" s="2">
        <f>IF(J363&lt;&gt;"","",LEN(K363))</f>
        <v>3</v>
      </c>
      <c r="M363" s="2" t="str">
        <f>IF(J363&lt;&gt;"","",MID(F363, H363+1, I363-H363-1))</f>
        <v>523</v>
      </c>
      <c r="N363" s="2">
        <f>IF(J363&lt;&gt;"","",LEN(M363))</f>
        <v>3</v>
      </c>
      <c r="O363" s="2">
        <f>IF(J363&lt;&gt;"","",K363*M363)</f>
        <v>266730</v>
      </c>
      <c r="R363" s="1" t="str">
        <v>658,920)from()from())!$&lt;&amp;*</v>
      </c>
      <c r="S363" s="1" t="str">
        <v>129,558</v>
      </c>
      <c r="T363" s="1" t="str">
        <v>129</v>
      </c>
      <c r="U363" s="1" t="str">
        <v>558</v>
      </c>
      <c r="V363" s="1">
        <v>71982</v>
      </c>
      <c r="AH363" s="1" t="str">
        <v>449,899)-when()how()what()@{what()(&gt;)~</v>
      </c>
      <c r="AI363" s="1" t="str">
        <v>449,899</v>
      </c>
      <c r="AJ363" s="1" t="str">
        <v>449</v>
      </c>
      <c r="AK363" s="1" t="str">
        <v>899</v>
      </c>
      <c r="AL363" s="1">
        <v>403651</v>
      </c>
    </row>
    <row r="364" spans="4:38" x14ac:dyDescent="0.3">
      <c r="D364" s="2">
        <v>361</v>
      </c>
      <c r="E364" s="2">
        <f>SEARCH("mul",$C$4,E363+1)</f>
        <v>8725</v>
      </c>
      <c r="F364" s="2" t="str">
        <f>MID($C$4,E364,$F$1)</f>
        <v>mul(584,102)&lt;wh</v>
      </c>
      <c r="G364" s="3">
        <f>SEARCH("(",F364)</f>
        <v>4</v>
      </c>
      <c r="H364" s="3">
        <f>SEARCH(",",F364)</f>
        <v>8</v>
      </c>
      <c r="I364" s="3">
        <f>SEARCH(")",F364)</f>
        <v>12</v>
      </c>
      <c r="J364" s="2" t="str">
        <f>IF(OR(ISERROR(G364),ISERROR(H364),ISERROR(I364)),"CORRUPT!","")</f>
        <v/>
      </c>
      <c r="K364" s="2" t="str">
        <f>IF(J364&lt;&gt;"","",MID(F364, G364+1, H364-G364-1))</f>
        <v>584</v>
      </c>
      <c r="L364" s="2">
        <f>IF(J364&lt;&gt;"","",LEN(K364))</f>
        <v>3</v>
      </c>
      <c r="M364" s="2" t="str">
        <f>IF(J364&lt;&gt;"","",MID(F364, H364+1, I364-H364-1))</f>
        <v>102</v>
      </c>
      <c r="N364" s="2">
        <f>IF(J364&lt;&gt;"","",LEN(M364))</f>
        <v>3</v>
      </c>
      <c r="O364" s="2">
        <f>IF(J364&lt;&gt;"","",K364*M364)</f>
        <v>59568</v>
      </c>
      <c r="R364" s="1" t="str">
        <v>45,446)what()where()&amp;![-% (%</v>
      </c>
      <c r="S364" s="1" t="str">
        <v>573,183&lt;how(</v>
      </c>
      <c r="T364" s="1" t="str">
        <v>573</v>
      </c>
      <c r="U364" s="1" t="str">
        <v>183&lt;how(</v>
      </c>
      <c r="V364" s="1">
        <v>0</v>
      </c>
      <c r="AH364" s="1" t="str">
        <v>768,867)why()</v>
      </c>
      <c r="AI364" s="1" t="str">
        <v>768,867</v>
      </c>
      <c r="AJ364" s="1" t="str">
        <v>768</v>
      </c>
      <c r="AK364" s="1" t="str">
        <v>867</v>
      </c>
      <c r="AL364" s="1">
        <v>665856</v>
      </c>
    </row>
    <row r="365" spans="4:38" x14ac:dyDescent="0.3">
      <c r="D365" s="2">
        <v>362</v>
      </c>
      <c r="E365" s="2">
        <f>SEARCH("mul",$C$4,E364+1)</f>
        <v>8744</v>
      </c>
      <c r="F365" s="2" t="str">
        <f>MID($C$4,E365,$F$1)</f>
        <v>mul(907,301)]#s</v>
      </c>
      <c r="G365" s="3">
        <f>SEARCH("(",F365)</f>
        <v>4</v>
      </c>
      <c r="H365" s="3">
        <f>SEARCH(",",F365)</f>
        <v>8</v>
      </c>
      <c r="I365" s="3">
        <f>SEARCH(")",F365)</f>
        <v>12</v>
      </c>
      <c r="J365" s="2" t="str">
        <f>IF(OR(ISERROR(G365),ISERROR(H365),ISERROR(I365)),"CORRUPT!","")</f>
        <v/>
      </c>
      <c r="K365" s="2" t="str">
        <f>IF(J365&lt;&gt;"","",MID(F365, G365+1, H365-G365-1))</f>
        <v>907</v>
      </c>
      <c r="L365" s="2">
        <f>IF(J365&lt;&gt;"","",LEN(K365))</f>
        <v>3</v>
      </c>
      <c r="M365" s="2" t="str">
        <f>IF(J365&lt;&gt;"","",MID(F365, H365+1, I365-H365-1))</f>
        <v>301</v>
      </c>
      <c r="N365" s="2">
        <f>IF(J365&lt;&gt;"","",LEN(M365))</f>
        <v>3</v>
      </c>
      <c r="O365" s="2">
        <f>IF(J365&lt;&gt;"","",K365*M365)</f>
        <v>273007</v>
      </c>
      <c r="R365" s="1" t="str">
        <v>304};do()why(81,149)#^</v>
      </c>
      <c r="S365" s="1" t="str">
        <v>626,301</v>
      </c>
      <c r="T365" s="1" t="str">
        <v>626</v>
      </c>
      <c r="U365" s="1" t="str">
        <v>301</v>
      </c>
      <c r="V365" s="1">
        <v>188426</v>
      </c>
      <c r="AH365" s="1" t="str">
        <v>305,695)?]where() ?#@(who()</v>
      </c>
      <c r="AI365" s="1" t="str">
        <v>305,695</v>
      </c>
      <c r="AJ365" s="1" t="str">
        <v>305</v>
      </c>
      <c r="AK365" s="1" t="str">
        <v>695</v>
      </c>
      <c r="AL365" s="1">
        <v>211975</v>
      </c>
    </row>
    <row r="366" spans="4:38" x14ac:dyDescent="0.3">
      <c r="D366" s="2">
        <v>363</v>
      </c>
      <c r="E366" s="2">
        <f>SEARCH("mul",$C$4,E365+1)</f>
        <v>8796</v>
      </c>
      <c r="F366" s="2" t="str">
        <f>MID($C$4,E366,$F$1)</f>
        <v>mul(980,625)sel</v>
      </c>
      <c r="G366" s="3">
        <f>SEARCH("(",F366)</f>
        <v>4</v>
      </c>
      <c r="H366" s="3">
        <f>SEARCH(",",F366)</f>
        <v>8</v>
      </c>
      <c r="I366" s="3">
        <f>SEARCH(")",F366)</f>
        <v>12</v>
      </c>
      <c r="J366" s="2" t="str">
        <f>IF(OR(ISERROR(G366),ISERROR(H366),ISERROR(I366)),"CORRUPT!","")</f>
        <v/>
      </c>
      <c r="K366" s="2" t="str">
        <f>IF(J366&lt;&gt;"","",MID(F366, G366+1, H366-G366-1))</f>
        <v>980</v>
      </c>
      <c r="L366" s="2">
        <f>IF(J366&lt;&gt;"","",LEN(K366))</f>
        <v>3</v>
      </c>
      <c r="M366" s="2" t="str">
        <f>IF(J366&lt;&gt;"","",MID(F366, H366+1, I366-H366-1))</f>
        <v>625</v>
      </c>
      <c r="N366" s="2">
        <f>IF(J366&lt;&gt;"","",LEN(M366))</f>
        <v>3</v>
      </c>
      <c r="O366" s="2">
        <f>IF(J366&lt;&gt;"","",K366*M366)</f>
        <v>612500</v>
      </c>
      <c r="R366" s="1" t="str">
        <v>181,603)where()^;{(! ^;</v>
      </c>
      <c r="S366" s="1" t="str">
        <v>20,851</v>
      </c>
      <c r="T366" s="1" t="str">
        <v>20</v>
      </c>
      <c r="U366" s="1" t="str">
        <v>851</v>
      </c>
      <c r="V366" s="1">
        <v>17020</v>
      </c>
      <c r="AH366" s="1" t="str">
        <v>748,367)why()+[</v>
      </c>
      <c r="AI366" s="1" t="str">
        <v>748,367</v>
      </c>
      <c r="AJ366" s="1" t="str">
        <v>748</v>
      </c>
      <c r="AK366" s="1" t="str">
        <v>367</v>
      </c>
      <c r="AL366" s="1">
        <v>274516</v>
      </c>
    </row>
    <row r="367" spans="4:38" x14ac:dyDescent="0.3">
      <c r="D367" s="2">
        <v>364</v>
      </c>
      <c r="E367" s="2">
        <f>SEARCH("mul",$C$4,E366+1)</f>
        <v>8827</v>
      </c>
      <c r="F367" s="2" t="str">
        <f>MID($C$4,E367,$F$1)</f>
        <v>mul(544,917)((h</v>
      </c>
      <c r="G367" s="3">
        <f>SEARCH("(",F367)</f>
        <v>4</v>
      </c>
      <c r="H367" s="3">
        <f>SEARCH(",",F367)</f>
        <v>8</v>
      </c>
      <c r="I367" s="3">
        <f>SEARCH(")",F367)</f>
        <v>12</v>
      </c>
      <c r="J367" s="2" t="str">
        <f>IF(OR(ISERROR(G367),ISERROR(H367),ISERROR(I367)),"CORRUPT!","")</f>
        <v/>
      </c>
      <c r="K367" s="2" t="str">
        <f>IF(J367&lt;&gt;"","",MID(F367, G367+1, H367-G367-1))</f>
        <v>544</v>
      </c>
      <c r="L367" s="2">
        <f>IF(J367&lt;&gt;"","",LEN(K367))</f>
        <v>3</v>
      </c>
      <c r="M367" s="2" t="str">
        <f>IF(J367&lt;&gt;"","",MID(F367, H367+1, I367-H367-1))</f>
        <v>917</v>
      </c>
      <c r="N367" s="2">
        <f>IF(J367&lt;&gt;"","",LEN(M367))</f>
        <v>3</v>
      </c>
      <c r="O367" s="2">
        <f>IF(J367&lt;&gt;"","",K367*M367)</f>
        <v>498848</v>
      </c>
      <c r="R367" s="1" t="str">
        <v>381,353)~@$</v>
      </c>
      <c r="S367" s="1" t="str">
        <v>42,787</v>
      </c>
      <c r="T367" s="1" t="str">
        <v>42</v>
      </c>
      <c r="U367" s="1" t="str">
        <v>787</v>
      </c>
      <c r="V367" s="1">
        <v>33054</v>
      </c>
      <c r="AH367" s="1" t="str">
        <v>643,18)})</v>
      </c>
      <c r="AI367" s="1" t="str">
        <v>643,18</v>
      </c>
      <c r="AJ367" s="1" t="str">
        <v>643</v>
      </c>
      <c r="AK367" s="1" t="str">
        <v>18</v>
      </c>
      <c r="AL367" s="1">
        <v>11574</v>
      </c>
    </row>
    <row r="368" spans="4:38" x14ac:dyDescent="0.3">
      <c r="D368" s="2">
        <v>365</v>
      </c>
      <c r="E368" s="2">
        <f>SEARCH("mul",$C$4,E367+1)</f>
        <v>8853</v>
      </c>
      <c r="F368" s="2" t="str">
        <f>MID($C$4,E368,$F$1)</f>
        <v>mul(628,364)who</v>
      </c>
      <c r="G368" s="3">
        <f>SEARCH("(",F368)</f>
        <v>4</v>
      </c>
      <c r="H368" s="3">
        <f>SEARCH(",",F368)</f>
        <v>8</v>
      </c>
      <c r="I368" s="3">
        <f>SEARCH(")",F368)</f>
        <v>12</v>
      </c>
      <c r="J368" s="2" t="str">
        <f>IF(OR(ISERROR(G368),ISERROR(H368),ISERROR(I368)),"CORRUPT!","")</f>
        <v/>
      </c>
      <c r="K368" s="2" t="str">
        <f>IF(J368&lt;&gt;"","",MID(F368, G368+1, H368-G368-1))</f>
        <v>628</v>
      </c>
      <c r="L368" s="2">
        <f>IF(J368&lt;&gt;"","",LEN(K368))</f>
        <v>3</v>
      </c>
      <c r="M368" s="2" t="str">
        <f>IF(J368&lt;&gt;"","",MID(F368, H368+1, I368-H368-1))</f>
        <v>364</v>
      </c>
      <c r="N368" s="2">
        <f>IF(J368&lt;&gt;"","",LEN(M368))</f>
        <v>3</v>
      </c>
      <c r="O368" s="2">
        <f>IF(J368&lt;&gt;"","",K368*M368)</f>
        <v>228592</v>
      </c>
      <c r="R368" s="1" t="str">
        <v xml:space="preserve">129,558)where()?from(): </v>
      </c>
      <c r="S368" s="1" t="str">
        <v>98,614</v>
      </c>
      <c r="T368" s="1" t="str">
        <v>98</v>
      </c>
      <c r="U368" s="1" t="str">
        <v>614</v>
      </c>
      <c r="V368" s="1">
        <v>60172</v>
      </c>
      <c r="AH368" s="1" t="str">
        <v>343,964){'</v>
      </c>
      <c r="AI368" s="1" t="str">
        <v>343,964</v>
      </c>
      <c r="AJ368" s="1" t="str">
        <v>343</v>
      </c>
      <c r="AK368" s="1" t="str">
        <v>964</v>
      </c>
      <c r="AL368" s="1">
        <v>330652</v>
      </c>
    </row>
    <row r="369" spans="4:38" x14ac:dyDescent="0.3">
      <c r="D369" s="2">
        <v>366</v>
      </c>
      <c r="E369" s="2">
        <f>SEARCH("mul",$C$4,E368+1)</f>
        <v>8920</v>
      </c>
      <c r="F369" s="2" t="str">
        <f>MID($C$4,E369,$F$1)</f>
        <v>mul(95,412)(mul</v>
      </c>
      <c r="G369" s="3">
        <f>SEARCH("(",F369)</f>
        <v>4</v>
      </c>
      <c r="H369" s="3">
        <f>SEARCH(",",F369)</f>
        <v>7</v>
      </c>
      <c r="I369" s="3">
        <f>SEARCH(")",F369)</f>
        <v>11</v>
      </c>
      <c r="J369" s="2" t="str">
        <f>IF(OR(ISERROR(G369),ISERROR(H369),ISERROR(I369)),"CORRUPT!","")</f>
        <v/>
      </c>
      <c r="K369" s="2" t="str">
        <f>IF(J369&lt;&gt;"","",MID(F369, G369+1, H369-G369-1))</f>
        <v>95</v>
      </c>
      <c r="L369" s="2">
        <f>IF(J369&lt;&gt;"","",LEN(K369))</f>
        <v>2</v>
      </c>
      <c r="M369" s="2" t="str">
        <f>IF(J369&lt;&gt;"","",MID(F369, H369+1, I369-H369-1))</f>
        <v>412</v>
      </c>
      <c r="N369" s="2">
        <f>IF(J369&lt;&gt;"","",LEN(M369))</f>
        <v>3</v>
      </c>
      <c r="O369" s="2">
        <f>IF(J369&lt;&gt;"","",K369*M369)</f>
        <v>39140</v>
      </c>
      <c r="R369" s="1" t="str">
        <v>573,183&lt;how()*how()(#(</v>
      </c>
      <c r="S369" s="1" t="str">
        <v>692,723</v>
      </c>
      <c r="T369" s="1" t="str">
        <v>692</v>
      </c>
      <c r="U369" s="1" t="str">
        <v>723</v>
      </c>
      <c r="V369" s="1">
        <v>500316</v>
      </c>
      <c r="AH369" s="1" t="str">
        <v>287,548)?%</v>
      </c>
      <c r="AI369" s="1" t="str">
        <v>287,548</v>
      </c>
      <c r="AJ369" s="1" t="str">
        <v>287</v>
      </c>
      <c r="AK369" s="1" t="str">
        <v>548</v>
      </c>
      <c r="AL369" s="1">
        <v>157276</v>
      </c>
    </row>
    <row r="370" spans="4:38" x14ac:dyDescent="0.3">
      <c r="D370" s="2">
        <v>367</v>
      </c>
      <c r="E370" s="2">
        <f>SEARCH("mul",$C$4,E369+1)</f>
        <v>8932</v>
      </c>
      <c r="F370" s="2" t="str">
        <f>MID($C$4,E370,$F$1)</f>
        <v>mul(127,442)/mu</v>
      </c>
      <c r="G370" s="3">
        <f>SEARCH("(",F370)</f>
        <v>4</v>
      </c>
      <c r="H370" s="3">
        <f>SEARCH(",",F370)</f>
        <v>8</v>
      </c>
      <c r="I370" s="3">
        <f>SEARCH(")",F370)</f>
        <v>12</v>
      </c>
      <c r="J370" s="2" t="str">
        <f>IF(OR(ISERROR(G370),ISERROR(H370),ISERROR(I370)),"CORRUPT!","")</f>
        <v/>
      </c>
      <c r="K370" s="2" t="str">
        <f>IF(J370&lt;&gt;"","",MID(F370, G370+1, H370-G370-1))</f>
        <v>127</v>
      </c>
      <c r="L370" s="2">
        <f>IF(J370&lt;&gt;"","",LEN(K370))</f>
        <v>3</v>
      </c>
      <c r="M370" s="2" t="str">
        <f>IF(J370&lt;&gt;"","",MID(F370, H370+1, I370-H370-1))</f>
        <v>442</v>
      </c>
      <c r="N370" s="2">
        <f>IF(J370&lt;&gt;"","",LEN(M370))</f>
        <v>3</v>
      </c>
      <c r="O370" s="2">
        <f>IF(J370&lt;&gt;"","",K370*M370)</f>
        <v>56134</v>
      </c>
      <c r="R370" s="1" t="str">
        <v>626,301))?]/)how()</v>
      </c>
      <c r="S370" s="1" t="str">
        <v>538,458</v>
      </c>
      <c r="T370" s="1" t="str">
        <v>538</v>
      </c>
      <c r="U370" s="1" t="str">
        <v>458</v>
      </c>
      <c r="V370" s="1">
        <v>246404</v>
      </c>
    </row>
    <row r="371" spans="4:38" x14ac:dyDescent="0.3">
      <c r="D371" s="2">
        <v>368</v>
      </c>
      <c r="E371" s="2">
        <f>SEARCH("mul",$C$4,E370+1)</f>
        <v>8945</v>
      </c>
      <c r="F371" s="2" t="str">
        <f>MID($C$4,E371,$F$1)</f>
        <v>mul(658,920)fro</v>
      </c>
      <c r="G371" s="3">
        <f>SEARCH("(",F371)</f>
        <v>4</v>
      </c>
      <c r="H371" s="3">
        <f>SEARCH(",",F371)</f>
        <v>8</v>
      </c>
      <c r="I371" s="3">
        <f>SEARCH(")",F371)</f>
        <v>12</v>
      </c>
      <c r="J371" s="2" t="str">
        <f>IF(OR(ISERROR(G371),ISERROR(H371),ISERROR(I371)),"CORRUPT!","")</f>
        <v/>
      </c>
      <c r="K371" s="2" t="str">
        <f>IF(J371&lt;&gt;"","",MID(F371, G371+1, H371-G371-1))</f>
        <v>658</v>
      </c>
      <c r="L371" s="2">
        <f>IF(J371&lt;&gt;"","",LEN(K371))</f>
        <v>3</v>
      </c>
      <c r="M371" s="2" t="str">
        <f>IF(J371&lt;&gt;"","",MID(F371, H371+1, I371-H371-1))</f>
        <v>920</v>
      </c>
      <c r="N371" s="2">
        <f>IF(J371&lt;&gt;"","",LEN(M371))</f>
        <v>3</v>
      </c>
      <c r="O371" s="2">
        <f>IF(J371&lt;&gt;"","",K371*M371)</f>
        <v>605360</v>
      </c>
      <c r="R371" s="1" t="str">
        <v>20,851)[$when()*how()</v>
      </c>
      <c r="S371" s="1" t="str">
        <v>773,196</v>
      </c>
      <c r="T371" s="1" t="str">
        <v>773</v>
      </c>
      <c r="U371" s="1" t="str">
        <v>196</v>
      </c>
      <c r="V371" s="1">
        <v>151508</v>
      </c>
    </row>
    <row r="372" spans="4:38" x14ac:dyDescent="0.3">
      <c r="D372" s="2">
        <v>369</v>
      </c>
      <c r="E372" s="2">
        <f>SEARCH("mul",$C$4,E371+1)</f>
        <v>8975</v>
      </c>
      <c r="F372" s="2" t="str">
        <f>MID($C$4,E372,$F$1)</f>
        <v>mul(45,446)what</v>
      </c>
      <c r="G372" s="3">
        <f>SEARCH("(",F372)</f>
        <v>4</v>
      </c>
      <c r="H372" s="3">
        <f>SEARCH(",",F372)</f>
        <v>7</v>
      </c>
      <c r="I372" s="3">
        <f>SEARCH(")",F372)</f>
        <v>11</v>
      </c>
      <c r="J372" s="2" t="str">
        <f>IF(OR(ISERROR(G372),ISERROR(H372),ISERROR(I372)),"CORRUPT!","")</f>
        <v/>
      </c>
      <c r="K372" s="2" t="str">
        <f>IF(J372&lt;&gt;"","",MID(F372, G372+1, H372-G372-1))</f>
        <v>45</v>
      </c>
      <c r="L372" s="2">
        <f>IF(J372&lt;&gt;"","",LEN(K372))</f>
        <v>2</v>
      </c>
      <c r="M372" s="2" t="str">
        <f>IF(J372&lt;&gt;"","",MID(F372, H372+1, I372-H372-1))</f>
        <v>446</v>
      </c>
      <c r="N372" s="2">
        <f>IF(J372&lt;&gt;"","",LEN(M372))</f>
        <v>3</v>
      </c>
      <c r="O372" s="2">
        <f>IF(J372&lt;&gt;"","",K372*M372)</f>
        <v>20070</v>
      </c>
      <c r="R372" s="1" t="str">
        <v>42,787)[! )@;:(;</v>
      </c>
      <c r="S372" s="1" t="str">
        <v>234,541</v>
      </c>
      <c r="T372" s="1" t="str">
        <v>234</v>
      </c>
      <c r="U372" s="1" t="str">
        <v>541</v>
      </c>
      <c r="V372" s="1">
        <v>126594</v>
      </c>
    </row>
    <row r="373" spans="4:38" x14ac:dyDescent="0.3">
      <c r="D373" s="2">
        <v>370</v>
      </c>
      <c r="E373" s="2">
        <f>SEARCH("mul",$C$4,E372+1)</f>
        <v>9007</v>
      </c>
      <c r="F373" s="2" t="str">
        <f>MID($C$4,E373,$F$1)</f>
        <v>mul(304};do()wh</v>
      </c>
      <c r="G373" s="3">
        <f>SEARCH("(",F373)</f>
        <v>4</v>
      </c>
      <c r="H373" s="3" t="e">
        <f>SEARCH(",",F373)</f>
        <v>#VALUE!</v>
      </c>
      <c r="I373" s="3">
        <f>SEARCH(")",F373)</f>
        <v>13</v>
      </c>
      <c r="J373" s="2" t="str">
        <f>IF(OR(ISERROR(G373),ISERROR(H373),ISERROR(I373)),"CORRUPT!","")</f>
        <v>CORRUPT!</v>
      </c>
      <c r="K373" s="2" t="str">
        <f>IF(J373&lt;&gt;"","",MID(F373, G373+1, H373-G373-1))</f>
        <v/>
      </c>
      <c r="L373" s="2" t="str">
        <f>IF(J373&lt;&gt;"","",LEN(K373))</f>
        <v/>
      </c>
      <c r="M373" s="2" t="str">
        <f>IF(J373&lt;&gt;"","",MID(F373, H373+1, I373-H373-1))</f>
        <v/>
      </c>
      <c r="N373" s="2" t="str">
        <f>IF(J373&lt;&gt;"","",LEN(M373))</f>
        <v/>
      </c>
      <c r="O373" s="2" t="str">
        <f>IF(J373&lt;&gt;"","",K373*M373)</f>
        <v/>
      </c>
      <c r="R373" s="1" t="str">
        <v>98,614)why()</v>
      </c>
      <c r="S373" s="1" t="str">
        <v>721,55</v>
      </c>
      <c r="T373" s="1" t="str">
        <v>721</v>
      </c>
      <c r="U373" s="1" t="str">
        <v>55</v>
      </c>
      <c r="V373" s="1">
        <v>39655</v>
      </c>
    </row>
    <row r="374" spans="4:38" x14ac:dyDescent="0.3">
      <c r="D374" s="2">
        <v>371</v>
      </c>
      <c r="E374" s="2">
        <f>SEARCH("mul",$C$4,E373+1)</f>
        <v>9033</v>
      </c>
      <c r="F374" s="2" t="str">
        <f>MID($C$4,E374,$F$1)</f>
        <v>mul(181,603)whe</v>
      </c>
      <c r="G374" s="3">
        <f>SEARCH("(",F374)</f>
        <v>4</v>
      </c>
      <c r="H374" s="3">
        <f>SEARCH(",",F374)</f>
        <v>8</v>
      </c>
      <c r="I374" s="3">
        <f>SEARCH(")",F374)</f>
        <v>12</v>
      </c>
      <c r="J374" s="2" t="str">
        <f>IF(OR(ISERROR(G374),ISERROR(H374),ISERROR(I374)),"CORRUPT!","")</f>
        <v/>
      </c>
      <c r="K374" s="2" t="str">
        <f>IF(J374&lt;&gt;"","",MID(F374, G374+1, H374-G374-1))</f>
        <v>181</v>
      </c>
      <c r="L374" s="2">
        <f>IF(J374&lt;&gt;"","",LEN(K374))</f>
        <v>3</v>
      </c>
      <c r="M374" s="2" t="str">
        <f>IF(J374&lt;&gt;"","",MID(F374, H374+1, I374-H374-1))</f>
        <v>603</v>
      </c>
      <c r="N374" s="2">
        <f>IF(J374&lt;&gt;"","",LEN(M374))</f>
        <v>3</v>
      </c>
      <c r="O374" s="2">
        <f>IF(J374&lt;&gt;"","",K374*M374)</f>
        <v>109143</v>
      </c>
      <c r="R374" s="1" t="str">
        <v>692,723)!'&gt;' do()why()&lt;&amp;select(812,485)!</v>
      </c>
      <c r="S374" s="1" t="str">
        <v>856,705]&gt;!#'++why(</v>
      </c>
      <c r="T374" s="1" t="str">
        <v>856</v>
      </c>
      <c r="U374" s="1" t="str">
        <v>705]&gt;!#'++why(</v>
      </c>
      <c r="V374" s="1">
        <v>0</v>
      </c>
    </row>
    <row r="375" spans="4:38" x14ac:dyDescent="0.3">
      <c r="D375" s="2">
        <v>372</v>
      </c>
      <c r="E375" s="2">
        <f>SEARCH("mul",$C$4,E374+1)</f>
        <v>9060</v>
      </c>
      <c r="F375" s="2" t="str">
        <f>MID($C$4,E375,$F$1)</f>
        <v>mul(381,353)~@$</v>
      </c>
      <c r="G375" s="3">
        <f>SEARCH("(",F375)</f>
        <v>4</v>
      </c>
      <c r="H375" s="3">
        <f>SEARCH(",",F375)</f>
        <v>8</v>
      </c>
      <c r="I375" s="3">
        <f>SEARCH(")",F375)</f>
        <v>12</v>
      </c>
      <c r="J375" s="2" t="str">
        <f>IF(OR(ISERROR(G375),ISERROR(H375),ISERROR(I375)),"CORRUPT!","")</f>
        <v/>
      </c>
      <c r="K375" s="2" t="str">
        <f>IF(J375&lt;&gt;"","",MID(F375, G375+1, H375-G375-1))</f>
        <v>381</v>
      </c>
      <c r="L375" s="2">
        <f>IF(J375&lt;&gt;"","",LEN(K375))</f>
        <v>3</v>
      </c>
      <c r="M375" s="2" t="str">
        <f>IF(J375&lt;&gt;"","",MID(F375, H375+1, I375-H375-1))</f>
        <v>353</v>
      </c>
      <c r="N375" s="2">
        <f>IF(J375&lt;&gt;"","",LEN(M375))</f>
        <v>3</v>
      </c>
      <c r="O375" s="2">
        <f>IF(J375&lt;&gt;"","",K375*M375)</f>
        <v>134493</v>
      </c>
      <c r="R375" s="1" t="str">
        <v>538,458)who()why()^'select(){{why()</v>
      </c>
      <c r="S375" s="1" t="str">
        <v>147,188</v>
      </c>
      <c r="T375" s="1" t="str">
        <v>147</v>
      </c>
      <c r="U375" s="1" t="str">
        <v>188</v>
      </c>
      <c r="V375" s="1">
        <v>27636</v>
      </c>
    </row>
    <row r="376" spans="4:38" x14ac:dyDescent="0.3">
      <c r="D376" s="2">
        <v>373</v>
      </c>
      <c r="E376" s="2">
        <f>SEARCH("mul",$C$4,E375+1)</f>
        <v>9075</v>
      </c>
      <c r="F376" s="2" t="str">
        <f>MID($C$4,E376,$F$1)</f>
        <v>mul(129,558)whe</v>
      </c>
      <c r="G376" s="3">
        <f>SEARCH("(",F376)</f>
        <v>4</v>
      </c>
      <c r="H376" s="3">
        <f>SEARCH(",",F376)</f>
        <v>8</v>
      </c>
      <c r="I376" s="3">
        <f>SEARCH(")",F376)</f>
        <v>12</v>
      </c>
      <c r="J376" s="2" t="str">
        <f>IF(OR(ISERROR(G376),ISERROR(H376),ISERROR(I376)),"CORRUPT!","")</f>
        <v/>
      </c>
      <c r="K376" s="2" t="str">
        <f>IF(J376&lt;&gt;"","",MID(F376, G376+1, H376-G376-1))</f>
        <v>129</v>
      </c>
      <c r="L376" s="2">
        <f>IF(J376&lt;&gt;"","",LEN(K376))</f>
        <v>3</v>
      </c>
      <c r="M376" s="2" t="str">
        <f>IF(J376&lt;&gt;"","",MID(F376, H376+1, I376-H376-1))</f>
        <v>558</v>
      </c>
      <c r="N376" s="2">
        <f>IF(J376&lt;&gt;"","",LEN(M376))</f>
        <v>3</v>
      </c>
      <c r="O376" s="2">
        <f>IF(J376&lt;&gt;"","",K376*M376)</f>
        <v>71982</v>
      </c>
      <c r="R376" s="1" t="str">
        <v>773,196)when()why(713,26){,!do()?why()!when(),?</v>
      </c>
      <c r="S376" s="1" t="str">
        <v>894,439</v>
      </c>
      <c r="T376" s="1" t="str">
        <v>894</v>
      </c>
      <c r="U376" s="1" t="str">
        <v>439</v>
      </c>
      <c r="V376" s="1">
        <v>392466</v>
      </c>
    </row>
    <row r="377" spans="4:38" x14ac:dyDescent="0.3">
      <c r="D377" s="2">
        <v>374</v>
      </c>
      <c r="E377" s="2">
        <f>SEARCH("mul",$C$4,E376+1)</f>
        <v>9103</v>
      </c>
      <c r="F377" s="2" t="str">
        <f>MID($C$4,E377,$F$1)</f>
        <v>mul(573,183&lt;how</v>
      </c>
      <c r="G377" s="3">
        <f>SEARCH("(",F377)</f>
        <v>4</v>
      </c>
      <c r="H377" s="3">
        <f>SEARCH(",",F377)</f>
        <v>8</v>
      </c>
      <c r="I377" s="3" t="e">
        <f>SEARCH(")",F377)</f>
        <v>#VALUE!</v>
      </c>
      <c r="J377" s="2" t="str">
        <f>IF(OR(ISERROR(G377),ISERROR(H377),ISERROR(I377)),"CORRUPT!","")</f>
        <v>CORRUPT!</v>
      </c>
      <c r="K377" s="2" t="str">
        <f>IF(J377&lt;&gt;"","",MID(F377, G377+1, H377-G377-1))</f>
        <v/>
      </c>
      <c r="L377" s="2" t="str">
        <f>IF(J377&lt;&gt;"","",LEN(K377))</f>
        <v/>
      </c>
      <c r="M377" s="2" t="str">
        <f>IF(J377&lt;&gt;"","",MID(F377, H377+1, I377-H377-1))</f>
        <v/>
      </c>
      <c r="N377" s="2" t="str">
        <f>IF(J377&lt;&gt;"","",LEN(M377))</f>
        <v/>
      </c>
      <c r="O377" s="2" t="str">
        <f>IF(J377&lt;&gt;"","",K377*M377)</f>
        <v/>
      </c>
      <c r="R377" s="1" t="str">
        <v>234,541)</v>
      </c>
      <c r="S377" s="1" t="str">
        <v>221,687</v>
      </c>
      <c r="T377" s="1" t="str">
        <v>221</v>
      </c>
      <c r="U377" s="1" t="str">
        <v>687</v>
      </c>
      <c r="V377" s="1">
        <v>151827</v>
      </c>
    </row>
    <row r="378" spans="4:38" x14ac:dyDescent="0.3">
      <c r="D378" s="2">
        <v>375</v>
      </c>
      <c r="E378" s="2">
        <f>SEARCH("mul",$C$4,E377+1)</f>
        <v>9129</v>
      </c>
      <c r="F378" s="2" t="str">
        <f>MID($C$4,E378,$F$1)</f>
        <v>mul(626,301))?]</v>
      </c>
      <c r="G378" s="3">
        <f>SEARCH("(",F378)</f>
        <v>4</v>
      </c>
      <c r="H378" s="3">
        <f>SEARCH(",",F378)</f>
        <v>8</v>
      </c>
      <c r="I378" s="3">
        <f>SEARCH(")",F378)</f>
        <v>12</v>
      </c>
      <c r="J378" s="2" t="str">
        <f>IF(OR(ISERROR(G378),ISERROR(H378),ISERROR(I378)),"CORRUPT!","")</f>
        <v/>
      </c>
      <c r="K378" s="2" t="str">
        <f>IF(J378&lt;&gt;"","",MID(F378, G378+1, H378-G378-1))</f>
        <v>626</v>
      </c>
      <c r="L378" s="2">
        <f>IF(J378&lt;&gt;"","",LEN(K378))</f>
        <v>3</v>
      </c>
      <c r="M378" s="2" t="str">
        <f>IF(J378&lt;&gt;"","",MID(F378, H378+1, I378-H378-1))</f>
        <v>301</v>
      </c>
      <c r="N378" s="2">
        <f>IF(J378&lt;&gt;"","",LEN(M378))</f>
        <v>3</v>
      </c>
      <c r="O378" s="2">
        <f>IF(J378&lt;&gt;"","",K378*M378)</f>
        <v>188426</v>
      </c>
      <c r="R378" s="1" t="str">
        <v>558]!(%;}'-</v>
      </c>
      <c r="S378" s="1" t="str">
        <v>9,723</v>
      </c>
      <c r="T378" s="1" t="str">
        <v>9</v>
      </c>
      <c r="U378" s="1" t="str">
        <v>723</v>
      </c>
      <c r="V378" s="1">
        <v>6507</v>
      </c>
    </row>
    <row r="379" spans="4:38" x14ac:dyDescent="0.3">
      <c r="D379" s="2">
        <v>376</v>
      </c>
      <c r="E379" s="2">
        <f>SEARCH("mul",$C$4,E378+1)</f>
        <v>9151</v>
      </c>
      <c r="F379" s="2" t="str">
        <f>MID($C$4,E379,$F$1)</f>
        <v>mul(20,851)[$wh</v>
      </c>
      <c r="G379" s="3">
        <f>SEARCH("(",F379)</f>
        <v>4</v>
      </c>
      <c r="H379" s="3">
        <f>SEARCH(",",F379)</f>
        <v>7</v>
      </c>
      <c r="I379" s="3">
        <f>SEARCH(")",F379)</f>
        <v>11</v>
      </c>
      <c r="J379" s="2" t="str">
        <f>IF(OR(ISERROR(G379),ISERROR(H379),ISERROR(I379)),"CORRUPT!","")</f>
        <v/>
      </c>
      <c r="K379" s="2" t="str">
        <f>IF(J379&lt;&gt;"","",MID(F379, G379+1, H379-G379-1))</f>
        <v>20</v>
      </c>
      <c r="L379" s="2">
        <f>IF(J379&lt;&gt;"","",LEN(K379))</f>
        <v>2</v>
      </c>
      <c r="M379" s="2" t="str">
        <f>IF(J379&lt;&gt;"","",MID(F379, H379+1, I379-H379-1))</f>
        <v>851</v>
      </c>
      <c r="N379" s="2">
        <f>IF(J379&lt;&gt;"","",LEN(M379))</f>
        <v>3</v>
      </c>
      <c r="O379" s="2">
        <f>IF(J379&lt;&gt;"","",K379*M379)</f>
        <v>17020</v>
      </c>
      <c r="R379" s="1" t="str">
        <v>721,55)(&lt;%@$?</v>
      </c>
      <c r="S379" s="1" t="str">
        <v>113,227</v>
      </c>
      <c r="T379" s="1" t="str">
        <v>113</v>
      </c>
      <c r="U379" s="1" t="str">
        <v>227</v>
      </c>
      <c r="V379" s="1">
        <v>25651</v>
      </c>
    </row>
    <row r="380" spans="4:38" x14ac:dyDescent="0.3">
      <c r="D380" s="2">
        <v>377</v>
      </c>
      <c r="E380" s="2">
        <f>SEARCH("mul",$C$4,E379+1)</f>
        <v>9176</v>
      </c>
      <c r="F380" s="2" t="str">
        <f>MID($C$4,E380,$F$1)</f>
        <v>mul(42,787)[! )</v>
      </c>
      <c r="G380" s="3">
        <f>SEARCH("(",F380)</f>
        <v>4</v>
      </c>
      <c r="H380" s="3">
        <f>SEARCH(",",F380)</f>
        <v>7</v>
      </c>
      <c r="I380" s="3">
        <f>SEARCH(")",F380)</f>
        <v>11</v>
      </c>
      <c r="J380" s="2" t="str">
        <f>IF(OR(ISERROR(G380),ISERROR(H380),ISERROR(I380)),"CORRUPT!","")</f>
        <v/>
      </c>
      <c r="K380" s="2" t="str">
        <f>IF(J380&lt;&gt;"","",MID(F380, G380+1, H380-G380-1))</f>
        <v>42</v>
      </c>
      <c r="L380" s="2">
        <f>IF(J380&lt;&gt;"","",LEN(K380))</f>
        <v>2</v>
      </c>
      <c r="M380" s="2" t="str">
        <f>IF(J380&lt;&gt;"","",MID(F380, H380+1, I380-H380-1))</f>
        <v>787</v>
      </c>
      <c r="N380" s="2">
        <f>IF(J380&lt;&gt;"","",LEN(M380))</f>
        <v>3</v>
      </c>
      <c r="O380" s="2">
        <f>IF(J380&lt;&gt;"","",K380*M380)</f>
        <v>33054</v>
      </c>
      <c r="R380" s="1" t="str">
        <v>856,705]&gt;!#'++why() &gt;#!/usr/bin/perlfrom()</v>
      </c>
      <c r="S380" s="1" t="str">
        <v>663,198</v>
      </c>
      <c r="T380" s="1" t="str">
        <v>663</v>
      </c>
      <c r="U380" s="1" t="str">
        <v>198</v>
      </c>
      <c r="V380" s="1">
        <v>131274</v>
      </c>
    </row>
    <row r="381" spans="4:38" x14ac:dyDescent="0.3">
      <c r="D381" s="2">
        <v>378</v>
      </c>
      <c r="E381" s="2">
        <f>SEARCH("mul",$C$4,E380+1)</f>
        <v>9196</v>
      </c>
      <c r="F381" s="2" t="str">
        <f>MID($C$4,E381,$F$1)</f>
        <v>mul(98,614)why(</v>
      </c>
      <c r="G381" s="3">
        <f>SEARCH("(",F381)</f>
        <v>4</v>
      </c>
      <c r="H381" s="3">
        <f>SEARCH(",",F381)</f>
        <v>7</v>
      </c>
      <c r="I381" s="3">
        <f>SEARCH(")",F381)</f>
        <v>11</v>
      </c>
      <c r="J381" s="2" t="str">
        <f>IF(OR(ISERROR(G381),ISERROR(H381),ISERROR(I381)),"CORRUPT!","")</f>
        <v/>
      </c>
      <c r="K381" s="2" t="str">
        <f>IF(J381&lt;&gt;"","",MID(F381, G381+1, H381-G381-1))</f>
        <v>98</v>
      </c>
      <c r="L381" s="2">
        <f>IF(J381&lt;&gt;"","",LEN(K381))</f>
        <v>2</v>
      </c>
      <c r="M381" s="2" t="str">
        <f>IF(J381&lt;&gt;"","",MID(F381, H381+1, I381-H381-1))</f>
        <v>614</v>
      </c>
      <c r="N381" s="2">
        <f>IF(J381&lt;&gt;"","",LEN(M381))</f>
        <v>3</v>
      </c>
      <c r="O381" s="2">
        <f>IF(J381&lt;&gt;"","",K381*M381)</f>
        <v>60172</v>
      </c>
      <c r="R381" s="1" t="str">
        <v>147,188)&lt;?$when()+$where()%</v>
      </c>
      <c r="S381" s="1" t="str">
        <v>567,600</v>
      </c>
      <c r="T381" s="1" t="str">
        <v>567</v>
      </c>
      <c r="U381" s="1" t="str">
        <v>600</v>
      </c>
      <c r="V381" s="1">
        <v>340200</v>
      </c>
    </row>
    <row r="382" spans="4:38" x14ac:dyDescent="0.3">
      <c r="D382" s="2">
        <v>379</v>
      </c>
      <c r="E382" s="2">
        <f>SEARCH("mul",$C$4,E381+1)</f>
        <v>9212</v>
      </c>
      <c r="F382" s="2" t="str">
        <f>MID($C$4,E382,$F$1)</f>
        <v>mul(692,723)!'&gt;</v>
      </c>
      <c r="G382" s="3">
        <f>SEARCH("(",F382)</f>
        <v>4</v>
      </c>
      <c r="H382" s="3">
        <f>SEARCH(",",F382)</f>
        <v>8</v>
      </c>
      <c r="I382" s="3">
        <f>SEARCH(")",F382)</f>
        <v>12</v>
      </c>
      <c r="J382" s="2" t="str">
        <f>IF(OR(ISERROR(G382),ISERROR(H382),ISERROR(I382)),"CORRUPT!","")</f>
        <v/>
      </c>
      <c r="K382" s="2" t="str">
        <f>IF(J382&lt;&gt;"","",MID(F382, G382+1, H382-G382-1))</f>
        <v>692</v>
      </c>
      <c r="L382" s="2">
        <f>IF(J382&lt;&gt;"","",LEN(K382))</f>
        <v>3</v>
      </c>
      <c r="M382" s="2" t="str">
        <f>IF(J382&lt;&gt;"","",MID(F382, H382+1, I382-H382-1))</f>
        <v>723</v>
      </c>
      <c r="N382" s="2">
        <f>IF(J382&lt;&gt;"","",LEN(M382))</f>
        <v>3</v>
      </c>
      <c r="O382" s="2">
        <f>IF(J382&lt;&gt;"","",K382*M382)</f>
        <v>500316</v>
      </c>
      <c r="R382" s="1" t="str">
        <v>894,439)&gt;where()what()</v>
      </c>
      <c r="S382" s="1" t="str">
        <v>472,423</v>
      </c>
      <c r="T382" s="1" t="str">
        <v>472</v>
      </c>
      <c r="U382" s="1" t="str">
        <v>423</v>
      </c>
      <c r="V382" s="1">
        <v>199656</v>
      </c>
    </row>
    <row r="383" spans="4:38" x14ac:dyDescent="0.3">
      <c r="D383" s="2">
        <v>380</v>
      </c>
      <c r="E383" s="2">
        <f>SEARCH("mul",$C$4,E382+1)</f>
        <v>9256</v>
      </c>
      <c r="F383" s="2" t="str">
        <f>MID($C$4,E383,$F$1)</f>
        <v>mul(538,458)who</v>
      </c>
      <c r="G383" s="3">
        <f>SEARCH("(",F383)</f>
        <v>4</v>
      </c>
      <c r="H383" s="3">
        <f>SEARCH(",",F383)</f>
        <v>8</v>
      </c>
      <c r="I383" s="3">
        <f>SEARCH(")",F383)</f>
        <v>12</v>
      </c>
      <c r="J383" s="2" t="str">
        <f>IF(OR(ISERROR(G383),ISERROR(H383),ISERROR(I383)),"CORRUPT!","")</f>
        <v/>
      </c>
      <c r="K383" s="2" t="str">
        <f>IF(J383&lt;&gt;"","",MID(F383, G383+1, H383-G383-1))</f>
        <v>538</v>
      </c>
      <c r="L383" s="2">
        <f>IF(J383&lt;&gt;"","",LEN(K383))</f>
        <v>3</v>
      </c>
      <c r="M383" s="2" t="str">
        <f>IF(J383&lt;&gt;"","",MID(F383, H383+1, I383-H383-1))</f>
        <v>458</v>
      </c>
      <c r="N383" s="2">
        <f>IF(J383&lt;&gt;"","",LEN(M383))</f>
        <v>3</v>
      </c>
      <c r="O383" s="2">
        <f>IF(J383&lt;&gt;"","",K383*M383)</f>
        <v>246404</v>
      </c>
      <c r="R383" s="1" t="str">
        <v>221,687)/)from()'[{</v>
      </c>
      <c r="S383" s="1" t="str">
        <v>785,371}-how(</v>
      </c>
      <c r="T383" s="1" t="str">
        <v>785</v>
      </c>
      <c r="U383" s="1" t="str">
        <v>371}-how(</v>
      </c>
      <c r="V383" s="1">
        <v>0</v>
      </c>
    </row>
    <row r="384" spans="4:38" x14ac:dyDescent="0.3">
      <c r="D384" s="2">
        <v>381</v>
      </c>
      <c r="E384" s="2">
        <f>SEARCH("mul",$C$4,E383+1)</f>
        <v>9295</v>
      </c>
      <c r="F384" s="2" t="str">
        <f>MID($C$4,E384,$F$1)</f>
        <v>mul(773,196)whe</v>
      </c>
      <c r="G384" s="3">
        <f>SEARCH("(",F384)</f>
        <v>4</v>
      </c>
      <c r="H384" s="3">
        <f>SEARCH(",",F384)</f>
        <v>8</v>
      </c>
      <c r="I384" s="3">
        <f>SEARCH(")",F384)</f>
        <v>12</v>
      </c>
      <c r="J384" s="2" t="str">
        <f>IF(OR(ISERROR(G384),ISERROR(H384),ISERROR(I384)),"CORRUPT!","")</f>
        <v/>
      </c>
      <c r="K384" s="2" t="str">
        <f>IF(J384&lt;&gt;"","",MID(F384, G384+1, H384-G384-1))</f>
        <v>773</v>
      </c>
      <c r="L384" s="2">
        <f>IF(J384&lt;&gt;"","",LEN(K384))</f>
        <v>3</v>
      </c>
      <c r="M384" s="2" t="str">
        <f>IF(J384&lt;&gt;"","",MID(F384, H384+1, I384-H384-1))</f>
        <v>196</v>
      </c>
      <c r="N384" s="2">
        <f>IF(J384&lt;&gt;"","",LEN(M384))</f>
        <v>3</v>
      </c>
      <c r="O384" s="2">
        <f>IF(J384&lt;&gt;"","",K384*M384)</f>
        <v>151508</v>
      </c>
      <c r="R384" s="1" t="str">
        <v>9,723)[{/?who()where()</v>
      </c>
      <c r="S384" s="1" t="str">
        <v>731,455</v>
      </c>
      <c r="T384" s="1" t="str">
        <v>731</v>
      </c>
      <c r="U384" s="1" t="str">
        <v>455</v>
      </c>
      <c r="V384" s="1">
        <v>332605</v>
      </c>
    </row>
    <row r="385" spans="4:22" x14ac:dyDescent="0.3">
      <c r="D385" s="2">
        <v>382</v>
      </c>
      <c r="E385" s="2">
        <f>SEARCH("mul",$C$4,E384+1)</f>
        <v>9346</v>
      </c>
      <c r="F385" s="2" t="str">
        <f>MID($C$4,E385,$F$1)</f>
        <v>mul(234,541)mul</v>
      </c>
      <c r="G385" s="3">
        <f>SEARCH("(",F385)</f>
        <v>4</v>
      </c>
      <c r="H385" s="3">
        <f>SEARCH(",",F385)</f>
        <v>8</v>
      </c>
      <c r="I385" s="3">
        <f>SEARCH(")",F385)</f>
        <v>12</v>
      </c>
      <c r="J385" s="2" t="str">
        <f>IF(OR(ISERROR(G385),ISERROR(H385),ISERROR(I385)),"CORRUPT!","")</f>
        <v/>
      </c>
      <c r="K385" s="2" t="str">
        <f>IF(J385&lt;&gt;"","",MID(F385, G385+1, H385-G385-1))</f>
        <v>234</v>
      </c>
      <c r="L385" s="2">
        <f>IF(J385&lt;&gt;"","",LEN(K385))</f>
        <v>3</v>
      </c>
      <c r="M385" s="2" t="str">
        <f>IF(J385&lt;&gt;"","",MID(F385, H385+1, I385-H385-1))</f>
        <v>541</v>
      </c>
      <c r="N385" s="2">
        <f>IF(J385&lt;&gt;"","",LEN(M385))</f>
        <v>3</v>
      </c>
      <c r="O385" s="2">
        <f>IF(J385&lt;&gt;"","",K385*M385)</f>
        <v>126594</v>
      </c>
      <c r="R385" s="1" t="str">
        <v>113,227)&gt; ~&gt;$)</v>
      </c>
      <c r="S385" s="1" t="str">
        <v>810,191</v>
      </c>
      <c r="T385" s="1" t="str">
        <v>810</v>
      </c>
      <c r="U385" s="1" t="str">
        <v>191</v>
      </c>
      <c r="V385" s="1">
        <v>154710</v>
      </c>
    </row>
    <row r="386" spans="4:22" x14ac:dyDescent="0.3">
      <c r="D386" s="2">
        <v>383</v>
      </c>
      <c r="E386" s="2">
        <f>SEARCH("mul",$C$4,E385+1)</f>
        <v>9358</v>
      </c>
      <c r="F386" s="2" t="str">
        <f>MID($C$4,E386,$F$1)</f>
        <v>mul(558]!(%;}'-</v>
      </c>
      <c r="G386" s="3">
        <f>SEARCH("(",F386)</f>
        <v>4</v>
      </c>
      <c r="H386" s="3" t="e">
        <f>SEARCH(",",F386)</f>
        <v>#VALUE!</v>
      </c>
      <c r="I386" s="3" t="e">
        <f>SEARCH(")",F386)</f>
        <v>#VALUE!</v>
      </c>
      <c r="J386" s="2" t="str">
        <f>IF(OR(ISERROR(G386),ISERROR(H386),ISERROR(I386)),"CORRUPT!","")</f>
        <v>CORRUPT!</v>
      </c>
      <c r="K386" s="2" t="str">
        <f>IF(J386&lt;&gt;"","",MID(F386, G386+1, H386-G386-1))</f>
        <v/>
      </c>
      <c r="L386" s="2" t="str">
        <f>IF(J386&lt;&gt;"","",LEN(K386))</f>
        <v/>
      </c>
      <c r="M386" s="2" t="str">
        <f>IF(J386&lt;&gt;"","",MID(F386, H386+1, I386-H386-1))</f>
        <v/>
      </c>
      <c r="N386" s="2" t="str">
        <f>IF(J386&lt;&gt;"","",LEN(M386))</f>
        <v/>
      </c>
      <c r="O386" s="2" t="str">
        <f>IF(J386&lt;&gt;"","",K386*M386)</f>
        <v/>
      </c>
      <c r="R386" s="1" t="str">
        <v>663,198)&amp;[&gt;#</v>
      </c>
      <c r="S386" s="1" t="str">
        <v>534,231&amp;don't(</v>
      </c>
      <c r="T386" s="1" t="str">
        <v>534</v>
      </c>
      <c r="U386" s="1" t="str">
        <v>231&amp;don't(</v>
      </c>
      <c r="V386" s="1">
        <v>0</v>
      </c>
    </row>
    <row r="387" spans="4:22" x14ac:dyDescent="0.3">
      <c r="D387" s="2">
        <v>384</v>
      </c>
      <c r="E387" s="2">
        <f>SEARCH("mul",$C$4,E386+1)</f>
        <v>9373</v>
      </c>
      <c r="F387" s="2" t="str">
        <f>MID($C$4,E387,$F$1)</f>
        <v>mul(721,55)(&lt;%@</v>
      </c>
      <c r="G387" s="3">
        <f>SEARCH("(",F387)</f>
        <v>4</v>
      </c>
      <c r="H387" s="3">
        <f>SEARCH(",",F387)</f>
        <v>8</v>
      </c>
      <c r="I387" s="3">
        <f>SEARCH(")",F387)</f>
        <v>11</v>
      </c>
      <c r="J387" s="2" t="str">
        <f>IF(OR(ISERROR(G387),ISERROR(H387),ISERROR(I387)),"CORRUPT!","")</f>
        <v/>
      </c>
      <c r="K387" s="2" t="str">
        <f>IF(J387&lt;&gt;"","",MID(F387, G387+1, H387-G387-1))</f>
        <v>721</v>
      </c>
      <c r="L387" s="2">
        <f>IF(J387&lt;&gt;"","",LEN(K387))</f>
        <v>3</v>
      </c>
      <c r="M387" s="2" t="str">
        <f>IF(J387&lt;&gt;"","",MID(F387, H387+1, I387-H387-1))</f>
        <v>55</v>
      </c>
      <c r="N387" s="2">
        <f>IF(J387&lt;&gt;"","",LEN(M387))</f>
        <v>2</v>
      </c>
      <c r="O387" s="2">
        <f>IF(J387&lt;&gt;"","",K387*M387)</f>
        <v>39655</v>
      </c>
      <c r="R387" s="1" t="str">
        <v>567,600)]when()$@select())(%&lt;&amp;</v>
      </c>
      <c r="S387" s="1" t="str">
        <v>190,923</v>
      </c>
      <c r="T387" s="1" t="str">
        <v>190</v>
      </c>
      <c r="U387" s="1" t="str">
        <v>923</v>
      </c>
      <c r="V387" s="1">
        <v>175370</v>
      </c>
    </row>
    <row r="388" spans="4:22" x14ac:dyDescent="0.3">
      <c r="D388" s="2">
        <v>385</v>
      </c>
      <c r="E388" s="2">
        <f>SEARCH("mul",$C$4,E387+1)</f>
        <v>9390</v>
      </c>
      <c r="F388" s="2" t="str">
        <f>MID($C$4,E388,$F$1)</f>
        <v>mul(856,705]&gt;!#</v>
      </c>
      <c r="G388" s="3">
        <f>SEARCH("(",F388)</f>
        <v>4</v>
      </c>
      <c r="H388" s="3">
        <f>SEARCH(",",F388)</f>
        <v>8</v>
      </c>
      <c r="I388" s="3" t="e">
        <f>SEARCH(")",F388)</f>
        <v>#VALUE!</v>
      </c>
      <c r="J388" s="2" t="str">
        <f>IF(OR(ISERROR(G388),ISERROR(H388),ISERROR(I388)),"CORRUPT!","")</f>
        <v>CORRUPT!</v>
      </c>
      <c r="K388" s="2" t="str">
        <f>IF(J388&lt;&gt;"","",MID(F388, G388+1, H388-G388-1))</f>
        <v/>
      </c>
      <c r="L388" s="2" t="str">
        <f>IF(J388&lt;&gt;"","",LEN(K388))</f>
        <v/>
      </c>
      <c r="M388" s="2" t="str">
        <f>IF(J388&lt;&gt;"","",MID(F388, H388+1, I388-H388-1))</f>
        <v/>
      </c>
      <c r="N388" s="2" t="str">
        <f>IF(J388&lt;&gt;"","",LEN(M388))</f>
        <v/>
      </c>
      <c r="O388" s="2" t="str">
        <f>IF(J388&lt;&gt;"","",K388*M388)</f>
        <v/>
      </c>
      <c r="R388" s="1" t="str">
        <v>472,423)#when()&gt;(/]select()$;how(511,981)</v>
      </c>
      <c r="S388" s="1" t="str">
        <v>909,876</v>
      </c>
      <c r="T388" s="1" t="str">
        <v>909</v>
      </c>
      <c r="U388" s="1" t="str">
        <v>876</v>
      </c>
      <c r="V388" s="1">
        <v>796284</v>
      </c>
    </row>
    <row r="389" spans="4:22" x14ac:dyDescent="0.3">
      <c r="D389" s="2">
        <v>386</v>
      </c>
      <c r="E389" s="2">
        <f>SEARCH("mul",$C$4,E388+1)</f>
        <v>9436</v>
      </c>
      <c r="F389" s="2" t="str">
        <f>MID($C$4,E389,$F$1)</f>
        <v>mul(147,188)&lt;?$</v>
      </c>
      <c r="G389" s="3">
        <f>SEARCH("(",F389)</f>
        <v>4</v>
      </c>
      <c r="H389" s="3">
        <f>SEARCH(",",F389)</f>
        <v>8</v>
      </c>
      <c r="I389" s="3">
        <f>SEARCH(")",F389)</f>
        <v>12</v>
      </c>
      <c r="J389" s="2" t="str">
        <f>IF(OR(ISERROR(G389),ISERROR(H389),ISERROR(I389)),"CORRUPT!","")</f>
        <v/>
      </c>
      <c r="K389" s="2" t="str">
        <f>IF(J389&lt;&gt;"","",MID(F389, G389+1, H389-G389-1))</f>
        <v>147</v>
      </c>
      <c r="L389" s="2">
        <f>IF(J389&lt;&gt;"","",LEN(K389))</f>
        <v>3</v>
      </c>
      <c r="M389" s="2" t="str">
        <f>IF(J389&lt;&gt;"","",MID(F389, H389+1, I389-H389-1))</f>
        <v>188</v>
      </c>
      <c r="N389" s="2">
        <f>IF(J389&lt;&gt;"","",LEN(M389))</f>
        <v>3</v>
      </c>
      <c r="O389" s="2">
        <f>IF(J389&lt;&gt;"","",K389*M389)</f>
        <v>27636</v>
      </c>
      <c r="R389" s="1" t="str">
        <v>785,371}-how():$where()(?~</v>
      </c>
      <c r="S389" s="1" t="str">
        <v>739,708</v>
      </c>
      <c r="T389" s="1" t="str">
        <v>739</v>
      </c>
      <c r="U389" s="1" t="str">
        <v>708</v>
      </c>
      <c r="V389" s="1">
        <v>523212</v>
      </c>
    </row>
    <row r="390" spans="4:22" x14ac:dyDescent="0.3">
      <c r="D390" s="2">
        <v>387</v>
      </c>
      <c r="E390" s="2">
        <f>SEARCH("mul",$C$4,E389+1)</f>
        <v>9467</v>
      </c>
      <c r="F390" s="2" t="str">
        <f>MID($C$4,E390,$F$1)</f>
        <v>mul(894,439)&gt;wh</v>
      </c>
      <c r="G390" s="3">
        <f>SEARCH("(",F390)</f>
        <v>4</v>
      </c>
      <c r="H390" s="3">
        <f>SEARCH(",",F390)</f>
        <v>8</v>
      </c>
      <c r="I390" s="3">
        <f>SEARCH(")",F390)</f>
        <v>12</v>
      </c>
      <c r="J390" s="2" t="str">
        <f>IF(OR(ISERROR(G390),ISERROR(H390),ISERROR(I390)),"CORRUPT!","")</f>
        <v/>
      </c>
      <c r="K390" s="2" t="str">
        <f>IF(J390&lt;&gt;"","",MID(F390, G390+1, H390-G390-1))</f>
        <v>894</v>
      </c>
      <c r="L390" s="2">
        <f>IF(J390&lt;&gt;"","",LEN(K390))</f>
        <v>3</v>
      </c>
      <c r="M390" s="2" t="str">
        <f>IF(J390&lt;&gt;"","",MID(F390, H390+1, I390-H390-1))</f>
        <v>439</v>
      </c>
      <c r="N390" s="2">
        <f>IF(J390&lt;&gt;"","",LEN(M390))</f>
        <v>3</v>
      </c>
      <c r="O390" s="2">
        <f>IF(J390&lt;&gt;"","",K390*M390)</f>
        <v>392466</v>
      </c>
      <c r="R390" s="1" t="str">
        <v>731,455)</v>
      </c>
      <c r="S390" s="1" t="str">
        <v>794,354</v>
      </c>
      <c r="T390" s="1" t="str">
        <v>794</v>
      </c>
      <c r="U390" s="1" t="str">
        <v>354</v>
      </c>
      <c r="V390" s="1">
        <v>281076</v>
      </c>
    </row>
    <row r="391" spans="4:22" x14ac:dyDescent="0.3">
      <c r="D391" s="2">
        <v>388</v>
      </c>
      <c r="E391" s="2">
        <f>SEARCH("mul",$C$4,E390+1)</f>
        <v>9493</v>
      </c>
      <c r="F391" s="2" t="str">
        <f>MID($C$4,E391,$F$1)</f>
        <v>mul(221,687)/)f</v>
      </c>
      <c r="G391" s="3">
        <f>SEARCH("(",F391)</f>
        <v>4</v>
      </c>
      <c r="H391" s="3">
        <f>SEARCH(",",F391)</f>
        <v>8</v>
      </c>
      <c r="I391" s="3">
        <f>SEARCH(")",F391)</f>
        <v>12</v>
      </c>
      <c r="J391" s="2" t="str">
        <f>IF(OR(ISERROR(G391),ISERROR(H391),ISERROR(I391)),"CORRUPT!","")</f>
        <v/>
      </c>
      <c r="K391" s="2" t="str">
        <f>IF(J391&lt;&gt;"","",MID(F391, G391+1, H391-G391-1))</f>
        <v>221</v>
      </c>
      <c r="L391" s="2">
        <f>IF(J391&lt;&gt;"","",LEN(K391))</f>
        <v>3</v>
      </c>
      <c r="M391" s="2" t="str">
        <f>IF(J391&lt;&gt;"","",MID(F391, H391+1, I391-H391-1))</f>
        <v>687</v>
      </c>
      <c r="N391" s="2">
        <f>IF(J391&lt;&gt;"","",LEN(M391))</f>
        <v>3</v>
      </c>
      <c r="O391" s="2">
        <f>IF(J391&lt;&gt;"","",K391*M391)</f>
        <v>151827</v>
      </c>
      <c r="R391" s="1" t="str">
        <v>810,191);who()(@&gt;,? !$</v>
      </c>
      <c r="S391" s="1" t="str">
        <v>874,298</v>
      </c>
      <c r="T391" s="1" t="str">
        <v>874</v>
      </c>
      <c r="U391" s="1" t="str">
        <v>298</v>
      </c>
      <c r="V391" s="1">
        <v>260452</v>
      </c>
    </row>
    <row r="392" spans="4:22" x14ac:dyDescent="0.3">
      <c r="D392" s="2">
        <v>389</v>
      </c>
      <c r="E392" s="2">
        <f>SEARCH("mul",$C$4,E391+1)</f>
        <v>9516</v>
      </c>
      <c r="F392" s="2" t="str">
        <f>MID($C$4,E392,$F$1)</f>
        <v>mul(9,723)[{/?w</v>
      </c>
      <c r="G392" s="3">
        <f>SEARCH("(",F392)</f>
        <v>4</v>
      </c>
      <c r="H392" s="3">
        <f>SEARCH(",",F392)</f>
        <v>6</v>
      </c>
      <c r="I392" s="3">
        <f>SEARCH(")",F392)</f>
        <v>10</v>
      </c>
      <c r="J392" s="2" t="str">
        <f>IF(OR(ISERROR(G392),ISERROR(H392),ISERROR(I392)),"CORRUPT!","")</f>
        <v/>
      </c>
      <c r="K392" s="2" t="str">
        <f>IF(J392&lt;&gt;"","",MID(F392, G392+1, H392-G392-1))</f>
        <v>9</v>
      </c>
      <c r="L392" s="2">
        <f>IF(J392&lt;&gt;"","",LEN(K392))</f>
        <v>1</v>
      </c>
      <c r="M392" s="2" t="str">
        <f>IF(J392&lt;&gt;"","",MID(F392, H392+1, I392-H392-1))</f>
        <v>723</v>
      </c>
      <c r="N392" s="2">
        <f>IF(J392&lt;&gt;"","",LEN(M392))</f>
        <v>3</v>
      </c>
      <c r="O392" s="2">
        <f>IF(J392&lt;&gt;"","",K392*M392)</f>
        <v>6507</v>
      </c>
      <c r="R392" s="1" t="str">
        <v>534,231&amp;don't();]why();,#;where()[,</v>
      </c>
      <c r="S392" s="1" t="str">
        <v>669,535</v>
      </c>
      <c r="T392" s="1" t="str">
        <v>669</v>
      </c>
      <c r="U392" s="1" t="str">
        <v>535</v>
      </c>
      <c r="V392" s="1">
        <v>357915</v>
      </c>
    </row>
    <row r="393" spans="4:22" x14ac:dyDescent="0.3">
      <c r="D393" s="2">
        <v>390</v>
      </c>
      <c r="E393" s="2">
        <f>SEARCH("mul",$C$4,E392+1)</f>
        <v>9542</v>
      </c>
      <c r="F393" s="2" t="str">
        <f>MID($C$4,E393,$F$1)</f>
        <v>mul(113,227)&gt; ~</v>
      </c>
      <c r="G393" s="3">
        <f>SEARCH("(",F393)</f>
        <v>4</v>
      </c>
      <c r="H393" s="3">
        <f>SEARCH(",",F393)</f>
        <v>8</v>
      </c>
      <c r="I393" s="3">
        <f>SEARCH(")",F393)</f>
        <v>12</v>
      </c>
      <c r="J393" s="2" t="str">
        <f>IF(OR(ISERROR(G393),ISERROR(H393),ISERROR(I393)),"CORRUPT!","")</f>
        <v/>
      </c>
      <c r="K393" s="2" t="str">
        <f>IF(J393&lt;&gt;"","",MID(F393, G393+1, H393-G393-1))</f>
        <v>113</v>
      </c>
      <c r="L393" s="2">
        <f>IF(J393&lt;&gt;"","",LEN(K393))</f>
        <v>3</v>
      </c>
      <c r="M393" s="2" t="str">
        <f>IF(J393&lt;&gt;"","",MID(F393, H393+1, I393-H393-1))</f>
        <v>227</v>
      </c>
      <c r="N393" s="2">
        <f>IF(J393&lt;&gt;"","",LEN(M393))</f>
        <v>3</v>
      </c>
      <c r="O393" s="2">
        <f>IF(J393&lt;&gt;"","",K393*M393)</f>
        <v>25651</v>
      </c>
      <c r="R393" s="1" t="str">
        <v>190,923) }when()mul &lt;</v>
      </c>
      <c r="S393" s="1" t="str">
        <v>260,4</v>
      </c>
      <c r="T393" s="1" t="str">
        <v>260</v>
      </c>
      <c r="U393" s="1" t="str">
        <v>4</v>
      </c>
      <c r="V393" s="1">
        <v>1040</v>
      </c>
    </row>
    <row r="394" spans="4:22" x14ac:dyDescent="0.3">
      <c r="D394" s="2">
        <v>391</v>
      </c>
      <c r="E394" s="2">
        <f>SEARCH("mul",$C$4,E393+1)</f>
        <v>9560</v>
      </c>
      <c r="F394" s="2" t="str">
        <f>MID($C$4,E394,$F$1)</f>
        <v>mul(663,198)&amp;[&gt;</v>
      </c>
      <c r="G394" s="3">
        <f>SEARCH("(",F394)</f>
        <v>4</v>
      </c>
      <c r="H394" s="3">
        <f>SEARCH(",",F394)</f>
        <v>8</v>
      </c>
      <c r="I394" s="3">
        <f>SEARCH(")",F394)</f>
        <v>12</v>
      </c>
      <c r="J394" s="2" t="str">
        <f>IF(OR(ISERROR(G394),ISERROR(H394),ISERROR(I394)),"CORRUPT!","")</f>
        <v/>
      </c>
      <c r="K394" s="2" t="str">
        <f>IF(J394&lt;&gt;"","",MID(F394, G394+1, H394-G394-1))</f>
        <v>663</v>
      </c>
      <c r="L394" s="2">
        <f>IF(J394&lt;&gt;"","",LEN(K394))</f>
        <v>3</v>
      </c>
      <c r="M394" s="2" t="str">
        <f>IF(J394&lt;&gt;"","",MID(F394, H394+1, I394-H394-1))</f>
        <v>198</v>
      </c>
      <c r="N394" s="2">
        <f>IF(J394&lt;&gt;"","",LEN(M394))</f>
        <v>3</v>
      </c>
      <c r="O394" s="2">
        <f>IF(J394&lt;&gt;"","",K394*M394)</f>
        <v>131274</v>
      </c>
      <c r="R394" s="1" t="str">
        <v>909,876)[*~when()]</v>
      </c>
      <c r="S394" s="1" t="str">
        <v>641,230</v>
      </c>
      <c r="T394" s="1" t="str">
        <v>641</v>
      </c>
      <c r="U394" s="1" t="str">
        <v>230</v>
      </c>
      <c r="V394" s="1">
        <v>147430</v>
      </c>
    </row>
    <row r="395" spans="4:22" x14ac:dyDescent="0.3">
      <c r="D395" s="2">
        <v>392</v>
      </c>
      <c r="E395" s="2">
        <f>SEARCH("mul",$C$4,E394+1)</f>
        <v>9576</v>
      </c>
      <c r="F395" s="2" t="str">
        <f>MID($C$4,E395,$F$1)</f>
        <v>mul(567,600)]wh</v>
      </c>
      <c r="G395" s="3">
        <f>SEARCH("(",F395)</f>
        <v>4</v>
      </c>
      <c r="H395" s="3">
        <f>SEARCH(",",F395)</f>
        <v>8</v>
      </c>
      <c r="I395" s="3">
        <f>SEARCH(")",F395)</f>
        <v>12</v>
      </c>
      <c r="J395" s="2" t="str">
        <f>IF(OR(ISERROR(G395),ISERROR(H395),ISERROR(I395)),"CORRUPT!","")</f>
        <v/>
      </c>
      <c r="K395" s="2" t="str">
        <f>IF(J395&lt;&gt;"","",MID(F395, G395+1, H395-G395-1))</f>
        <v>567</v>
      </c>
      <c r="L395" s="2">
        <f>IF(J395&lt;&gt;"","",LEN(K395))</f>
        <v>3</v>
      </c>
      <c r="M395" s="2" t="str">
        <f>IF(J395&lt;&gt;"","",MID(F395, H395+1, I395-H395-1))</f>
        <v>600</v>
      </c>
      <c r="N395" s="2">
        <f>IF(J395&lt;&gt;"","",LEN(M395))</f>
        <v>3</v>
      </c>
      <c r="O395" s="2">
        <f>IF(J395&lt;&gt;"","",K395*M395)</f>
        <v>340200</v>
      </c>
      <c r="R395" s="1" t="str">
        <v>739,708)select()(@:~)/&lt;@,</v>
      </c>
      <c r="S395" s="1" t="str">
        <v>516,429</v>
      </c>
      <c r="T395" s="1" t="str">
        <v>516</v>
      </c>
      <c r="U395" s="1" t="str">
        <v>429</v>
      </c>
      <c r="V395" s="1">
        <v>221364</v>
      </c>
    </row>
    <row r="396" spans="4:22" x14ac:dyDescent="0.3">
      <c r="D396" s="2">
        <v>393</v>
      </c>
      <c r="E396" s="2">
        <f>SEARCH("mul",$C$4,E395+1)</f>
        <v>9610</v>
      </c>
      <c r="F396" s="2" t="str">
        <f>MID($C$4,E396,$F$1)</f>
        <v>mul(472,423)#wh</v>
      </c>
      <c r="G396" s="3">
        <f>SEARCH("(",F396)</f>
        <v>4</v>
      </c>
      <c r="H396" s="3">
        <f>SEARCH(",",F396)</f>
        <v>8</v>
      </c>
      <c r="I396" s="3">
        <f>SEARCH(")",F396)</f>
        <v>12</v>
      </c>
      <c r="J396" s="2" t="str">
        <f>IF(OR(ISERROR(G396),ISERROR(H396),ISERROR(I396)),"CORRUPT!","")</f>
        <v/>
      </c>
      <c r="K396" s="2" t="str">
        <f>IF(J396&lt;&gt;"","",MID(F396, G396+1, H396-G396-1))</f>
        <v>472</v>
      </c>
      <c r="L396" s="2">
        <f>IF(J396&lt;&gt;"","",LEN(K396))</f>
        <v>3</v>
      </c>
      <c r="M396" s="2" t="str">
        <f>IF(J396&lt;&gt;"","",MID(F396, H396+1, I396-H396-1))</f>
        <v>423</v>
      </c>
      <c r="N396" s="2">
        <f>IF(J396&lt;&gt;"","",LEN(M396))</f>
        <v>3</v>
      </c>
      <c r="O396" s="2">
        <f>IF(J396&lt;&gt;"","",K396*M396)</f>
        <v>199656</v>
      </c>
      <c r="R396" s="1" t="str">
        <v>794,354)&lt;</v>
      </c>
      <c r="S396" s="1" t="str">
        <v>141,983</v>
      </c>
      <c r="T396" s="1" t="str">
        <v>141</v>
      </c>
      <c r="U396" s="1" t="str">
        <v>983</v>
      </c>
      <c r="V396" s="1">
        <v>138603</v>
      </c>
    </row>
    <row r="397" spans="4:22" x14ac:dyDescent="0.3">
      <c r="D397" s="2">
        <v>394</v>
      </c>
      <c r="E397" s="2">
        <f>SEARCH("mul",$C$4,E396+1)</f>
        <v>9655</v>
      </c>
      <c r="F397" s="2" t="str">
        <f>MID($C$4,E397,$F$1)</f>
        <v>mul(785,371}-ho</v>
      </c>
      <c r="G397" s="3">
        <f>SEARCH("(",F397)</f>
        <v>4</v>
      </c>
      <c r="H397" s="3">
        <f>SEARCH(",",F397)</f>
        <v>8</v>
      </c>
      <c r="I397" s="3" t="e">
        <f>SEARCH(")",F397)</f>
        <v>#VALUE!</v>
      </c>
      <c r="J397" s="2" t="str">
        <f>IF(OR(ISERROR(G397),ISERROR(H397),ISERROR(I397)),"CORRUPT!","")</f>
        <v>CORRUPT!</v>
      </c>
      <c r="K397" s="2" t="str">
        <f>IF(J397&lt;&gt;"","",MID(F397, G397+1, H397-G397-1))</f>
        <v/>
      </c>
      <c r="L397" s="2" t="str">
        <f>IF(J397&lt;&gt;"","",LEN(K397))</f>
        <v/>
      </c>
      <c r="M397" s="2" t="str">
        <f>IF(J397&lt;&gt;"","",MID(F397, H397+1, I397-H397-1))</f>
        <v/>
      </c>
      <c r="N397" s="2" t="str">
        <f>IF(J397&lt;&gt;"","",LEN(M397))</f>
        <v/>
      </c>
      <c r="O397" s="2" t="str">
        <f>IF(J397&lt;&gt;"","",K397*M397)</f>
        <v/>
      </c>
      <c r="R397" s="1" t="str">
        <v>874,298)what()why()$+</v>
      </c>
      <c r="S397" s="1" t="str">
        <v>525,573&lt;{what(</v>
      </c>
      <c r="T397" s="1" t="str">
        <v>525</v>
      </c>
      <c r="U397" s="1" t="str">
        <v>573&lt;{what(</v>
      </c>
      <c r="V397" s="1">
        <v>0</v>
      </c>
    </row>
    <row r="398" spans="4:22" x14ac:dyDescent="0.3">
      <c r="D398" s="2">
        <v>395</v>
      </c>
      <c r="E398" s="2">
        <f>SEARCH("mul",$C$4,E397+1)</f>
        <v>9685</v>
      </c>
      <c r="F398" s="2" t="str">
        <f>MID($C$4,E398,$F$1)</f>
        <v>mul(731,455)mul</v>
      </c>
      <c r="G398" s="3">
        <f>SEARCH("(",F398)</f>
        <v>4</v>
      </c>
      <c r="H398" s="3">
        <f>SEARCH(",",F398)</f>
        <v>8</v>
      </c>
      <c r="I398" s="3">
        <f>SEARCH(")",F398)</f>
        <v>12</v>
      </c>
      <c r="J398" s="2" t="str">
        <f>IF(OR(ISERROR(G398),ISERROR(H398),ISERROR(I398)),"CORRUPT!","")</f>
        <v/>
      </c>
      <c r="K398" s="2" t="str">
        <f>IF(J398&lt;&gt;"","",MID(F398, G398+1, H398-G398-1))</f>
        <v>731</v>
      </c>
      <c r="L398" s="2">
        <f>IF(J398&lt;&gt;"","",LEN(K398))</f>
        <v>3</v>
      </c>
      <c r="M398" s="2" t="str">
        <f>IF(J398&lt;&gt;"","",MID(F398, H398+1, I398-H398-1))</f>
        <v>455</v>
      </c>
      <c r="N398" s="2">
        <f>IF(J398&lt;&gt;"","",LEN(M398))</f>
        <v>3</v>
      </c>
      <c r="O398" s="2">
        <f>IF(J398&lt;&gt;"","",K398*M398)</f>
        <v>332605</v>
      </c>
      <c r="R398" s="1" t="str">
        <v>669,535)&amp;!^</v>
      </c>
      <c r="S398" s="1" t="str">
        <v>885,340</v>
      </c>
      <c r="T398" s="1" t="str">
        <v>885</v>
      </c>
      <c r="U398" s="1" t="str">
        <v>340</v>
      </c>
      <c r="V398" s="1">
        <v>300900</v>
      </c>
    </row>
    <row r="399" spans="4:22" x14ac:dyDescent="0.3">
      <c r="D399" s="2">
        <v>396</v>
      </c>
      <c r="E399" s="2">
        <f>SEARCH("mul",$C$4,E398+1)</f>
        <v>9697</v>
      </c>
      <c r="F399" s="2" t="str">
        <f>MID($C$4,E399,$F$1)</f>
        <v>mul(810,191);wh</v>
      </c>
      <c r="G399" s="3">
        <f>SEARCH("(",F399)</f>
        <v>4</v>
      </c>
      <c r="H399" s="3">
        <f>SEARCH(",",F399)</f>
        <v>8</v>
      </c>
      <c r="I399" s="3">
        <f>SEARCH(")",F399)</f>
        <v>12</v>
      </c>
      <c r="J399" s="2" t="str">
        <f>IF(OR(ISERROR(G399),ISERROR(H399),ISERROR(I399)),"CORRUPT!","")</f>
        <v/>
      </c>
      <c r="K399" s="2" t="str">
        <f>IF(J399&lt;&gt;"","",MID(F399, G399+1, H399-G399-1))</f>
        <v>810</v>
      </c>
      <c r="L399" s="2">
        <f>IF(J399&lt;&gt;"","",LEN(K399))</f>
        <v>3</v>
      </c>
      <c r="M399" s="2" t="str">
        <f>IF(J399&lt;&gt;"","",MID(F399, H399+1, I399-H399-1))</f>
        <v>191</v>
      </c>
      <c r="N399" s="2">
        <f>IF(J399&lt;&gt;"","",LEN(M399))</f>
        <v>3</v>
      </c>
      <c r="O399" s="2">
        <f>IF(J399&lt;&gt;"","",K399*M399)</f>
        <v>154710</v>
      </c>
      <c r="R399" s="1" t="str">
        <v>260,4))</v>
      </c>
      <c r="S399" s="1" t="str">
        <v>398,414</v>
      </c>
      <c r="T399" s="1" t="str">
        <v>398</v>
      </c>
      <c r="U399" s="1" t="str">
        <v>414</v>
      </c>
      <c r="V399" s="1">
        <v>164772</v>
      </c>
    </row>
    <row r="400" spans="4:22" x14ac:dyDescent="0.3">
      <c r="D400" s="2">
        <v>397</v>
      </c>
      <c r="E400" s="2">
        <f>SEARCH("mul",$C$4,E399+1)</f>
        <v>9723</v>
      </c>
      <c r="F400" s="2" t="str">
        <f>MID($C$4,E400,$F$1)</f>
        <v>mul(534,231&amp;don</v>
      </c>
      <c r="G400" s="3">
        <f>SEARCH("(",F400)</f>
        <v>4</v>
      </c>
      <c r="H400" s="3">
        <f>SEARCH(",",F400)</f>
        <v>8</v>
      </c>
      <c r="I400" s="3" t="e">
        <f>SEARCH(")",F400)</f>
        <v>#VALUE!</v>
      </c>
      <c r="J400" s="2" t="str">
        <f>IF(OR(ISERROR(G400),ISERROR(H400),ISERROR(I400)),"CORRUPT!","")</f>
        <v>CORRUPT!</v>
      </c>
      <c r="K400" s="2" t="str">
        <f>IF(J400&lt;&gt;"","",MID(F400, G400+1, H400-G400-1))</f>
        <v/>
      </c>
      <c r="L400" s="2" t="str">
        <f>IF(J400&lt;&gt;"","",LEN(K400))</f>
        <v/>
      </c>
      <c r="M400" s="2" t="str">
        <f>IF(J400&lt;&gt;"","",MID(F400, H400+1, I400-H400-1))</f>
        <v/>
      </c>
      <c r="N400" s="2" t="str">
        <f>IF(J400&lt;&gt;"","",LEN(M400))</f>
        <v/>
      </c>
      <c r="O400" s="2" t="str">
        <f>IF(J400&lt;&gt;"","",K400*M400)</f>
        <v/>
      </c>
      <c r="R400" s="1" t="str">
        <v>641,230)</v>
      </c>
      <c r="S400" s="1" t="str">
        <v>746,645</v>
      </c>
      <c r="T400" s="1" t="str">
        <v>746</v>
      </c>
      <c r="U400" s="1" t="str">
        <v>645</v>
      </c>
      <c r="V400" s="1">
        <v>481170</v>
      </c>
    </row>
    <row r="401" spans="4:22" x14ac:dyDescent="0.3">
      <c r="D401" s="2">
        <v>398</v>
      </c>
      <c r="E401" s="2">
        <f>SEARCH("mul",$C$4,E400+1)</f>
        <v>9762</v>
      </c>
      <c r="F401" s="2" t="str">
        <f>MID($C$4,E401,$F$1)</f>
        <v>mul(190,923) }w</v>
      </c>
      <c r="G401" s="3">
        <f>SEARCH("(",F401)</f>
        <v>4</v>
      </c>
      <c r="H401" s="3">
        <f>SEARCH(",",F401)</f>
        <v>8</v>
      </c>
      <c r="I401" s="3">
        <f>SEARCH(")",F401)</f>
        <v>12</v>
      </c>
      <c r="J401" s="2" t="str">
        <f>IF(OR(ISERROR(G401),ISERROR(H401),ISERROR(I401)),"CORRUPT!","")</f>
        <v/>
      </c>
      <c r="K401" s="2" t="str">
        <f>IF(J401&lt;&gt;"","",MID(F401, G401+1, H401-G401-1))</f>
        <v>190</v>
      </c>
      <c r="L401" s="2">
        <f>IF(J401&lt;&gt;"","",LEN(K401))</f>
        <v>3</v>
      </c>
      <c r="M401" s="2" t="str">
        <f>IF(J401&lt;&gt;"","",MID(F401, H401+1, I401-H401-1))</f>
        <v>923</v>
      </c>
      <c r="N401" s="2">
        <f>IF(J401&lt;&gt;"","",LEN(M401))</f>
        <v>3</v>
      </c>
      <c r="O401" s="2">
        <f>IF(J401&lt;&gt;"","",K401*M401)</f>
        <v>175370</v>
      </c>
      <c r="R401" s="1" t="str">
        <v>516,429)'</v>
      </c>
      <c r="S401" s="1" t="str">
        <v>523,150</v>
      </c>
      <c r="T401" s="1" t="str">
        <v>523</v>
      </c>
      <c r="U401" s="1" t="str">
        <v>150</v>
      </c>
      <c r="V401" s="1">
        <v>78450</v>
      </c>
    </row>
    <row r="402" spans="4:22" x14ac:dyDescent="0.3">
      <c r="D402" s="2">
        <v>399</v>
      </c>
      <c r="E402" s="2">
        <f>SEARCH("mul",$C$4,E401+1)</f>
        <v>9782</v>
      </c>
      <c r="F402" s="2" t="str">
        <f>MID($C$4,E402,$F$1)</f>
        <v>mul &lt;mul(909,87</v>
      </c>
      <c r="G402" s="3">
        <f>SEARCH("(",F402)</f>
        <v>9</v>
      </c>
      <c r="H402" s="3">
        <f>SEARCH(",",F402)</f>
        <v>13</v>
      </c>
      <c r="I402" s="3" t="e">
        <f>SEARCH(")",F402)</f>
        <v>#VALUE!</v>
      </c>
      <c r="J402" s="2" t="str">
        <f>IF(OR(ISERROR(G402),ISERROR(H402),ISERROR(I402)),"CORRUPT!","")</f>
        <v>CORRUPT!</v>
      </c>
      <c r="K402" s="2" t="str">
        <f>IF(J402&lt;&gt;"","",MID(F402, G402+1, H402-G402-1))</f>
        <v/>
      </c>
      <c r="L402" s="2" t="str">
        <f>IF(J402&lt;&gt;"","",LEN(K402))</f>
        <v/>
      </c>
      <c r="M402" s="2" t="str">
        <f>IF(J402&lt;&gt;"","",MID(F402, H402+1, I402-H402-1))</f>
        <v/>
      </c>
      <c r="N402" s="2" t="str">
        <f>IF(J402&lt;&gt;"","",LEN(M402))</f>
        <v/>
      </c>
      <c r="O402" s="2" t="str">
        <f>IF(J402&lt;&gt;"","",K402*M402)</f>
        <v/>
      </c>
      <c r="R402" s="1" t="str">
        <v>141,983)!}when()select()where()+}[)do()&amp;&gt;:</v>
      </c>
      <c r="S402" s="1" t="str">
        <v>446,624</v>
      </c>
      <c r="T402" s="1" t="str">
        <v>446</v>
      </c>
      <c r="U402" s="1" t="str">
        <v>624</v>
      </c>
      <c r="V402" s="1">
        <v>278304</v>
      </c>
    </row>
    <row r="403" spans="4:22" x14ac:dyDescent="0.3">
      <c r="D403" s="2">
        <v>400</v>
      </c>
      <c r="E403" s="2">
        <f>SEARCH("mul",$C$4,E402+1)</f>
        <v>9787</v>
      </c>
      <c r="F403" s="2" t="str">
        <f>MID($C$4,E403,$F$1)</f>
        <v>mul(909,876)[*~</v>
      </c>
      <c r="G403" s="3">
        <f>SEARCH("(",F403)</f>
        <v>4</v>
      </c>
      <c r="H403" s="3">
        <f>SEARCH(",",F403)</f>
        <v>8</v>
      </c>
      <c r="I403" s="3">
        <f>SEARCH(")",F403)</f>
        <v>12</v>
      </c>
      <c r="J403" s="2" t="str">
        <f>IF(OR(ISERROR(G403),ISERROR(H403),ISERROR(I403)),"CORRUPT!","")</f>
        <v/>
      </c>
      <c r="K403" s="2" t="str">
        <f>IF(J403&lt;&gt;"","",MID(F403, G403+1, H403-G403-1))</f>
        <v>909</v>
      </c>
      <c r="L403" s="2">
        <f>IF(J403&lt;&gt;"","",LEN(K403))</f>
        <v>3</v>
      </c>
      <c r="M403" s="2" t="str">
        <f>IF(J403&lt;&gt;"","",MID(F403, H403+1, I403-H403-1))</f>
        <v>876</v>
      </c>
      <c r="N403" s="2">
        <f>IF(J403&lt;&gt;"","",LEN(M403))</f>
        <v>3</v>
      </c>
      <c r="O403" s="2">
        <f>IF(J403&lt;&gt;"","",K403*M403)</f>
        <v>796284</v>
      </c>
      <c r="R403" s="1" t="str">
        <v>525,573&lt;{what() *$?from()from(){</v>
      </c>
      <c r="S403" s="1" t="str">
        <v>605,440</v>
      </c>
      <c r="T403" s="1" t="str">
        <v>605</v>
      </c>
      <c r="U403" s="1" t="str">
        <v>440</v>
      </c>
      <c r="V403" s="1">
        <v>266200</v>
      </c>
    </row>
    <row r="404" spans="4:22" x14ac:dyDescent="0.3">
      <c r="D404" s="2">
        <v>401</v>
      </c>
      <c r="E404" s="2">
        <f>SEARCH("mul",$C$4,E403+1)</f>
        <v>9809</v>
      </c>
      <c r="F404" s="2" t="str">
        <f>MID($C$4,E404,$F$1)</f>
        <v>mul(739,708)sel</v>
      </c>
      <c r="G404" s="3">
        <f>SEARCH("(",F404)</f>
        <v>4</v>
      </c>
      <c r="H404" s="3">
        <f>SEARCH(",",F404)</f>
        <v>8</v>
      </c>
      <c r="I404" s="3">
        <f>SEARCH(")",F404)</f>
        <v>12</v>
      </c>
      <c r="J404" s="2" t="str">
        <f>IF(OR(ISERROR(G404),ISERROR(H404),ISERROR(I404)),"CORRUPT!","")</f>
        <v/>
      </c>
      <c r="K404" s="2" t="str">
        <f>IF(J404&lt;&gt;"","",MID(F404, G404+1, H404-G404-1))</f>
        <v>739</v>
      </c>
      <c r="L404" s="2">
        <f>IF(J404&lt;&gt;"","",LEN(K404))</f>
        <v>3</v>
      </c>
      <c r="M404" s="2" t="str">
        <f>IF(J404&lt;&gt;"","",MID(F404, H404+1, I404-H404-1))</f>
        <v>708</v>
      </c>
      <c r="N404" s="2">
        <f>IF(J404&lt;&gt;"","",LEN(M404))</f>
        <v>3</v>
      </c>
      <c r="O404" s="2">
        <f>IF(J404&lt;&gt;"","",K404*M404)</f>
        <v>523212</v>
      </c>
      <c r="R404" s="1" t="str">
        <v>885,340)why()&gt;</v>
      </c>
      <c r="S404" s="1" t="str">
        <v>17,117</v>
      </c>
      <c r="T404" s="1" t="str">
        <v>17</v>
      </c>
      <c r="U404" s="1" t="str">
        <v>117</v>
      </c>
      <c r="V404" s="1">
        <v>1989</v>
      </c>
    </row>
    <row r="405" spans="4:22" x14ac:dyDescent="0.3">
      <c r="D405" s="2">
        <v>402</v>
      </c>
      <c r="E405" s="2">
        <f>SEARCH("mul",$C$4,E404+1)</f>
        <v>9838</v>
      </c>
      <c r="F405" s="2" t="str">
        <f>MID($C$4,E405,$F$1)</f>
        <v>mul(794,354)&lt;mu</v>
      </c>
      <c r="G405" s="3">
        <f>SEARCH("(",F405)</f>
        <v>4</v>
      </c>
      <c r="H405" s="3">
        <f>SEARCH(",",F405)</f>
        <v>8</v>
      </c>
      <c r="I405" s="3">
        <f>SEARCH(")",F405)</f>
        <v>12</v>
      </c>
      <c r="J405" s="2" t="str">
        <f>IF(OR(ISERROR(G405),ISERROR(H405),ISERROR(I405)),"CORRUPT!","")</f>
        <v/>
      </c>
      <c r="K405" s="2" t="str">
        <f>IF(J405&lt;&gt;"","",MID(F405, G405+1, H405-G405-1))</f>
        <v>794</v>
      </c>
      <c r="L405" s="2">
        <f>IF(J405&lt;&gt;"","",LEN(K405))</f>
        <v>3</v>
      </c>
      <c r="M405" s="2" t="str">
        <f>IF(J405&lt;&gt;"","",MID(F405, H405+1, I405-H405-1))</f>
        <v>354</v>
      </c>
      <c r="N405" s="2">
        <f>IF(J405&lt;&gt;"","",LEN(M405))</f>
        <v>3</v>
      </c>
      <c r="O405" s="2">
        <f>IF(J405&lt;&gt;"","",K405*M405)</f>
        <v>281076</v>
      </c>
      <c r="R405" s="1" t="str">
        <v>398,414)?[where()&lt;what()from()^</v>
      </c>
      <c r="S405" s="1" t="str">
        <v>988,667</v>
      </c>
      <c r="T405" s="1" t="str">
        <v>988</v>
      </c>
      <c r="U405" s="1" t="str">
        <v>667</v>
      </c>
      <c r="V405" s="1">
        <v>658996</v>
      </c>
    </row>
    <row r="406" spans="4:22" x14ac:dyDescent="0.3">
      <c r="D406" s="2">
        <v>403</v>
      </c>
      <c r="E406" s="2">
        <f>SEARCH("mul",$C$4,E405+1)</f>
        <v>9851</v>
      </c>
      <c r="F406" s="2" t="str">
        <f>MID($C$4,E406,$F$1)</f>
        <v>mul(874,298)wha</v>
      </c>
      <c r="G406" s="3">
        <f>SEARCH("(",F406)</f>
        <v>4</v>
      </c>
      <c r="H406" s="3">
        <f>SEARCH(",",F406)</f>
        <v>8</v>
      </c>
      <c r="I406" s="3">
        <f>SEARCH(")",F406)</f>
        <v>12</v>
      </c>
      <c r="J406" s="2" t="str">
        <f>IF(OR(ISERROR(G406),ISERROR(H406),ISERROR(I406)),"CORRUPT!","")</f>
        <v/>
      </c>
      <c r="K406" s="2" t="str">
        <f>IF(J406&lt;&gt;"","",MID(F406, G406+1, H406-G406-1))</f>
        <v>874</v>
      </c>
      <c r="L406" s="2">
        <f>IF(J406&lt;&gt;"","",LEN(K406))</f>
        <v>3</v>
      </c>
      <c r="M406" s="2" t="str">
        <f>IF(J406&lt;&gt;"","",MID(F406, H406+1, I406-H406-1))</f>
        <v>298</v>
      </c>
      <c r="N406" s="2">
        <f>IF(J406&lt;&gt;"","",LEN(M406))</f>
        <v>3</v>
      </c>
      <c r="O406" s="2">
        <f>IF(J406&lt;&gt;"","",K406*M406)</f>
        <v>260452</v>
      </c>
      <c r="R406" s="1" t="str">
        <v>746,645)where(586,97)+'</v>
      </c>
      <c r="S406" s="1" t="str">
        <v>828,197</v>
      </c>
      <c r="T406" s="1" t="str">
        <v>828</v>
      </c>
      <c r="U406" s="1" t="str">
        <v>197</v>
      </c>
      <c r="V406" s="1">
        <v>163116</v>
      </c>
    </row>
    <row r="407" spans="4:22" x14ac:dyDescent="0.3">
      <c r="D407" s="2">
        <v>404</v>
      </c>
      <c r="E407" s="2">
        <f>SEARCH("mul",$C$4,E406+1)</f>
        <v>9876</v>
      </c>
      <c r="F407" s="2" t="str">
        <f>MID($C$4,E407,$F$1)</f>
        <v>mul(669,535)&amp;!^</v>
      </c>
      <c r="G407" s="3">
        <f>SEARCH("(",F407)</f>
        <v>4</v>
      </c>
      <c r="H407" s="3">
        <f>SEARCH(",",F407)</f>
        <v>8</v>
      </c>
      <c r="I407" s="3">
        <f>SEARCH(")",F407)</f>
        <v>12</v>
      </c>
      <c r="J407" s="2" t="str">
        <f>IF(OR(ISERROR(G407),ISERROR(H407),ISERROR(I407)),"CORRUPT!","")</f>
        <v/>
      </c>
      <c r="K407" s="2" t="str">
        <f>IF(J407&lt;&gt;"","",MID(F407, G407+1, H407-G407-1))</f>
        <v>669</v>
      </c>
      <c r="L407" s="2">
        <f>IF(J407&lt;&gt;"","",LEN(K407))</f>
        <v>3</v>
      </c>
      <c r="M407" s="2" t="str">
        <f>IF(J407&lt;&gt;"","",MID(F407, H407+1, I407-H407-1))</f>
        <v>535</v>
      </c>
      <c r="N407" s="2">
        <f>IF(J407&lt;&gt;"","",LEN(M407))</f>
        <v>3</v>
      </c>
      <c r="O407" s="2">
        <f>IF(J407&lt;&gt;"","",K407*M407)</f>
        <v>357915</v>
      </c>
      <c r="R407" s="1" t="str">
        <v>523,150)/%()~how()where(580,13)@</v>
      </c>
      <c r="S407" s="1" t="str">
        <v>799,415</v>
      </c>
      <c r="T407" s="1" t="str">
        <v>799</v>
      </c>
      <c r="U407" s="1" t="str">
        <v>415</v>
      </c>
      <c r="V407" s="1">
        <v>331585</v>
      </c>
    </row>
    <row r="408" spans="4:22" x14ac:dyDescent="0.3">
      <c r="D408" s="2">
        <v>405</v>
      </c>
      <c r="E408" s="2">
        <f>SEARCH("mul",$C$4,E407+1)</f>
        <v>9891</v>
      </c>
      <c r="F408" s="2" t="str">
        <f>MID($C$4,E408,$F$1)</f>
        <v>mul(260,4))mul(</v>
      </c>
      <c r="G408" s="3">
        <f>SEARCH("(",F408)</f>
        <v>4</v>
      </c>
      <c r="H408" s="3">
        <f>SEARCH(",",F408)</f>
        <v>8</v>
      </c>
      <c r="I408" s="3">
        <f>SEARCH(")",F408)</f>
        <v>10</v>
      </c>
      <c r="J408" s="2" t="str">
        <f>IF(OR(ISERROR(G408),ISERROR(H408),ISERROR(I408)),"CORRUPT!","")</f>
        <v/>
      </c>
      <c r="K408" s="2" t="str">
        <f>IF(J408&lt;&gt;"","",MID(F408, G408+1, H408-G408-1))</f>
        <v>260</v>
      </c>
      <c r="L408" s="2">
        <f>IF(J408&lt;&gt;"","",LEN(K408))</f>
        <v>3</v>
      </c>
      <c r="M408" s="2" t="str">
        <f>IF(J408&lt;&gt;"","",MID(F408, H408+1, I408-H408-1))</f>
        <v>4</v>
      </c>
      <c r="N408" s="2">
        <f>IF(J408&lt;&gt;"","",LEN(M408))</f>
        <v>1</v>
      </c>
      <c r="O408" s="2">
        <f>IF(J408&lt;&gt;"","",K408*M408)</f>
        <v>1040</v>
      </c>
      <c r="R408" s="1" t="str">
        <v>446,624),'-</v>
      </c>
      <c r="S408" s="1" t="str">
        <v>122,243</v>
      </c>
      <c r="T408" s="1" t="str">
        <v>122</v>
      </c>
      <c r="U408" s="1" t="str">
        <v>243</v>
      </c>
      <c r="V408" s="1">
        <v>29646</v>
      </c>
    </row>
    <row r="409" spans="4:22" x14ac:dyDescent="0.3">
      <c r="D409" s="2">
        <v>406</v>
      </c>
      <c r="E409" s="2">
        <f>SEARCH("mul",$C$4,E408+1)</f>
        <v>9902</v>
      </c>
      <c r="F409" s="2" t="str">
        <f>MID($C$4,E409,$F$1)</f>
        <v>mul(641,230)mul</v>
      </c>
      <c r="G409" s="3">
        <f>SEARCH("(",F409)</f>
        <v>4</v>
      </c>
      <c r="H409" s="3">
        <f>SEARCH(",",F409)</f>
        <v>8</v>
      </c>
      <c r="I409" s="3">
        <f>SEARCH(")",F409)</f>
        <v>12</v>
      </c>
      <c r="J409" s="2" t="str">
        <f>IF(OR(ISERROR(G409),ISERROR(H409),ISERROR(I409)),"CORRUPT!","")</f>
        <v/>
      </c>
      <c r="K409" s="2" t="str">
        <f>IF(J409&lt;&gt;"","",MID(F409, G409+1, H409-G409-1))</f>
        <v>641</v>
      </c>
      <c r="L409" s="2">
        <f>IF(J409&lt;&gt;"","",LEN(K409))</f>
        <v>3</v>
      </c>
      <c r="M409" s="2" t="str">
        <f>IF(J409&lt;&gt;"","",MID(F409, H409+1, I409-H409-1))</f>
        <v>230</v>
      </c>
      <c r="N409" s="2">
        <f>IF(J409&lt;&gt;"","",LEN(M409))</f>
        <v>3</v>
      </c>
      <c r="O409" s="2">
        <f>IF(J409&lt;&gt;"","",K409*M409)</f>
        <v>147430</v>
      </c>
      <c r="R409" s="1" t="str">
        <v>605,440),from()$/-where()</v>
      </c>
      <c r="S409" s="1" t="str">
        <v>218,944</v>
      </c>
      <c r="T409" s="1" t="str">
        <v>218</v>
      </c>
      <c r="U409" s="1" t="str">
        <v>944</v>
      </c>
      <c r="V409" s="1">
        <v>205792</v>
      </c>
    </row>
    <row r="410" spans="4:22" x14ac:dyDescent="0.3">
      <c r="D410" s="2">
        <v>407</v>
      </c>
      <c r="E410" s="2">
        <f>SEARCH("mul",$C$4,E409+1)</f>
        <v>9914</v>
      </c>
      <c r="F410" s="2" t="str">
        <f>MID($C$4,E410,$F$1)</f>
        <v>mul(516,429)'mu</v>
      </c>
      <c r="G410" s="3">
        <f>SEARCH("(",F410)</f>
        <v>4</v>
      </c>
      <c r="H410" s="3">
        <f>SEARCH(",",F410)</f>
        <v>8</v>
      </c>
      <c r="I410" s="3">
        <f>SEARCH(")",F410)</f>
        <v>12</v>
      </c>
      <c r="J410" s="2" t="str">
        <f>IF(OR(ISERROR(G410),ISERROR(H410),ISERROR(I410)),"CORRUPT!","")</f>
        <v/>
      </c>
      <c r="K410" s="2" t="str">
        <f>IF(J410&lt;&gt;"","",MID(F410, G410+1, H410-G410-1))</f>
        <v>516</v>
      </c>
      <c r="L410" s="2">
        <f>IF(J410&lt;&gt;"","",LEN(K410))</f>
        <v>3</v>
      </c>
      <c r="M410" s="2" t="str">
        <f>IF(J410&lt;&gt;"","",MID(F410, H410+1, I410-H410-1))</f>
        <v>429</v>
      </c>
      <c r="N410" s="2">
        <f>IF(J410&lt;&gt;"","",LEN(M410))</f>
        <v>3</v>
      </c>
      <c r="O410" s="2">
        <f>IF(J410&lt;&gt;"","",K410*M410)</f>
        <v>221364</v>
      </c>
      <c r="R410" s="1" t="str">
        <v>17,117) &gt;$why()from())</v>
      </c>
      <c r="S410" s="1" t="str">
        <v>686,595</v>
      </c>
      <c r="T410" s="1" t="str">
        <v>686</v>
      </c>
      <c r="U410" s="1" t="str">
        <v>595</v>
      </c>
      <c r="V410" s="1">
        <v>408170</v>
      </c>
    </row>
    <row r="411" spans="4:22" x14ac:dyDescent="0.3">
      <c r="D411" s="2">
        <v>408</v>
      </c>
      <c r="E411" s="2">
        <f>SEARCH("mul",$C$4,E410+1)</f>
        <v>9927</v>
      </c>
      <c r="F411" s="2" t="str">
        <f>MID($C$4,E411,$F$1)</f>
        <v>mul(141,983)!}w</v>
      </c>
      <c r="G411" s="3">
        <f>SEARCH("(",F411)</f>
        <v>4</v>
      </c>
      <c r="H411" s="3">
        <f>SEARCH(",",F411)</f>
        <v>8</v>
      </c>
      <c r="I411" s="3">
        <f>SEARCH(")",F411)</f>
        <v>12</v>
      </c>
      <c r="J411" s="2" t="str">
        <f>IF(OR(ISERROR(G411),ISERROR(H411),ISERROR(I411)),"CORRUPT!","")</f>
        <v/>
      </c>
      <c r="K411" s="2" t="str">
        <f>IF(J411&lt;&gt;"","",MID(F411, G411+1, H411-G411-1))</f>
        <v>141</v>
      </c>
      <c r="L411" s="2">
        <f>IF(J411&lt;&gt;"","",LEN(K411))</f>
        <v>3</v>
      </c>
      <c r="M411" s="2" t="str">
        <f>IF(J411&lt;&gt;"","",MID(F411, H411+1, I411-H411-1))</f>
        <v>983</v>
      </c>
      <c r="N411" s="2">
        <f>IF(J411&lt;&gt;"","",LEN(M411))</f>
        <v>3</v>
      </c>
      <c r="O411" s="2">
        <f>IF(J411&lt;&gt;"","",K411*M411)</f>
        <v>138603</v>
      </c>
      <c r="R411" s="1" t="str">
        <v>988,667)</v>
      </c>
      <c r="S411" s="1" t="str">
        <v>916,990</v>
      </c>
      <c r="T411" s="1" t="str">
        <v>916</v>
      </c>
      <c r="U411" s="1" t="str">
        <v>990</v>
      </c>
      <c r="V411" s="1">
        <v>906840</v>
      </c>
    </row>
    <row r="412" spans="4:22" x14ac:dyDescent="0.3">
      <c r="D412" s="2">
        <v>409</v>
      </c>
      <c r="E412" s="2">
        <f>SEARCH("mul",$C$4,E411+1)</f>
        <v>9973</v>
      </c>
      <c r="F412" s="2" t="str">
        <f>MID($C$4,E412,$F$1)</f>
        <v>mul(525,573&lt;{wh</v>
      </c>
      <c r="G412" s="3">
        <f>SEARCH("(",F412)</f>
        <v>4</v>
      </c>
      <c r="H412" s="3">
        <f>SEARCH(",",F412)</f>
        <v>8</v>
      </c>
      <c r="I412" s="3" t="e">
        <f>SEARCH(")",F412)</f>
        <v>#VALUE!</v>
      </c>
      <c r="J412" s="2" t="str">
        <f>IF(OR(ISERROR(G412),ISERROR(H412),ISERROR(I412)),"CORRUPT!","")</f>
        <v>CORRUPT!</v>
      </c>
      <c r="K412" s="2" t="str">
        <f>IF(J412&lt;&gt;"","",MID(F412, G412+1, H412-G412-1))</f>
        <v/>
      </c>
      <c r="L412" s="2" t="str">
        <f>IF(J412&lt;&gt;"","",LEN(K412))</f>
        <v/>
      </c>
      <c r="M412" s="2" t="str">
        <f>IF(J412&lt;&gt;"","",MID(F412, H412+1, I412-H412-1))</f>
        <v/>
      </c>
      <c r="N412" s="2" t="str">
        <f>IF(J412&lt;&gt;"","",LEN(M412))</f>
        <v/>
      </c>
      <c r="O412" s="2" t="str">
        <f>IF(J412&lt;&gt;"","",K412*M412)</f>
        <v/>
      </c>
      <c r="R412" s="1" t="str">
        <v>828,197)'why()/%*when()/*</v>
      </c>
      <c r="S412" s="1" t="str">
        <v>414,411</v>
      </c>
      <c r="T412" s="1" t="str">
        <v>414</v>
      </c>
      <c r="U412" s="1" t="str">
        <v>411</v>
      </c>
      <c r="V412" s="1">
        <v>170154</v>
      </c>
    </row>
    <row r="413" spans="4:22" x14ac:dyDescent="0.3">
      <c r="D413" s="2">
        <v>410</v>
      </c>
      <c r="E413" s="2">
        <f>SEARCH("mul",$C$4,E412+1)</f>
        <v>10009</v>
      </c>
      <c r="F413" s="2" t="str">
        <f>MID($C$4,E413,$F$1)</f>
        <v>mul(885,340)why</v>
      </c>
      <c r="G413" s="3">
        <f>SEARCH("(",F413)</f>
        <v>4</v>
      </c>
      <c r="H413" s="3">
        <f>SEARCH(",",F413)</f>
        <v>8</v>
      </c>
      <c r="I413" s="3">
        <f>SEARCH(")",F413)</f>
        <v>12</v>
      </c>
      <c r="J413" s="2" t="str">
        <f>IF(OR(ISERROR(G413),ISERROR(H413),ISERROR(I413)),"CORRUPT!","")</f>
        <v/>
      </c>
      <c r="K413" s="2" t="str">
        <f>IF(J413&lt;&gt;"","",MID(F413, G413+1, H413-G413-1))</f>
        <v>885</v>
      </c>
      <c r="L413" s="2">
        <f>IF(J413&lt;&gt;"","",LEN(K413))</f>
        <v>3</v>
      </c>
      <c r="M413" s="2" t="str">
        <f>IF(J413&lt;&gt;"","",MID(F413, H413+1, I413-H413-1))</f>
        <v>340</v>
      </c>
      <c r="N413" s="2">
        <f>IF(J413&lt;&gt;"","",LEN(M413))</f>
        <v>3</v>
      </c>
      <c r="O413" s="2">
        <f>IF(J413&lt;&gt;"","",K413*M413)</f>
        <v>300900</v>
      </c>
      <c r="R413" s="1" t="str">
        <v>799,415)where()]&lt;~ ?&gt;'-don't()^[(' ]%^~%</v>
      </c>
      <c r="S413" s="1" t="str">
        <v>820,386</v>
      </c>
      <c r="T413" s="1" t="str">
        <v>820</v>
      </c>
      <c r="U413" s="1" t="str">
        <v>386</v>
      </c>
      <c r="V413" s="1">
        <v>316520</v>
      </c>
    </row>
    <row r="414" spans="4:22" x14ac:dyDescent="0.3">
      <c r="D414" s="2">
        <v>411</v>
      </c>
      <c r="E414" s="2">
        <f>SEARCH("mul",$C$4,E413+1)</f>
        <v>10027</v>
      </c>
      <c r="F414" s="2" t="str">
        <f>MID($C$4,E414,$F$1)</f>
        <v>mul(398,414)?[w</v>
      </c>
      <c r="G414" s="3">
        <f>SEARCH("(",F414)</f>
        <v>4</v>
      </c>
      <c r="H414" s="3">
        <f>SEARCH(",",F414)</f>
        <v>8</v>
      </c>
      <c r="I414" s="3">
        <f>SEARCH(")",F414)</f>
        <v>12</v>
      </c>
      <c r="J414" s="2" t="str">
        <f>IF(OR(ISERROR(G414),ISERROR(H414),ISERROR(I414)),"CORRUPT!","")</f>
        <v/>
      </c>
      <c r="K414" s="2" t="str">
        <f>IF(J414&lt;&gt;"","",MID(F414, G414+1, H414-G414-1))</f>
        <v>398</v>
      </c>
      <c r="L414" s="2">
        <f>IF(J414&lt;&gt;"","",LEN(K414))</f>
        <v>3</v>
      </c>
      <c r="M414" s="2" t="str">
        <f>IF(J414&lt;&gt;"","",MID(F414, H414+1, I414-H414-1))</f>
        <v>414</v>
      </c>
      <c r="N414" s="2">
        <f>IF(J414&lt;&gt;"","",LEN(M414))</f>
        <v>3</v>
      </c>
      <c r="O414" s="2">
        <f>IF(J414&lt;&gt;"","",K414*M414)</f>
        <v>164772</v>
      </c>
      <c r="R414" s="1" t="str">
        <v>122,243)why();[how(951,959)how(435,882)~*-#don't()why()[what()what()'</v>
      </c>
      <c r="S414" s="1" t="str">
        <v>324,473</v>
      </c>
      <c r="T414" s="1" t="str">
        <v>324</v>
      </c>
      <c r="U414" s="1" t="str">
        <v>473</v>
      </c>
      <c r="V414" s="1">
        <v>153252</v>
      </c>
    </row>
    <row r="415" spans="4:22" x14ac:dyDescent="0.3">
      <c r="D415" s="2">
        <v>412</v>
      </c>
      <c r="E415" s="2">
        <f>SEARCH("mul",$C$4,E414+1)</f>
        <v>10062</v>
      </c>
      <c r="F415" s="2" t="str">
        <f>MID($C$4,E415,$F$1)</f>
        <v>mul(746,645)whe</v>
      </c>
      <c r="G415" s="3">
        <f>SEARCH("(",F415)</f>
        <v>4</v>
      </c>
      <c r="H415" s="3">
        <f>SEARCH(",",F415)</f>
        <v>8</v>
      </c>
      <c r="I415" s="3">
        <f>SEARCH(")",F415)</f>
        <v>12</v>
      </c>
      <c r="J415" s="2" t="str">
        <f>IF(OR(ISERROR(G415),ISERROR(H415),ISERROR(I415)),"CORRUPT!","")</f>
        <v/>
      </c>
      <c r="K415" s="2" t="str">
        <f>IF(J415&lt;&gt;"","",MID(F415, G415+1, H415-G415-1))</f>
        <v>746</v>
      </c>
      <c r="L415" s="2">
        <f>IF(J415&lt;&gt;"","",LEN(K415))</f>
        <v>3</v>
      </c>
      <c r="M415" s="2" t="str">
        <f>IF(J415&lt;&gt;"","",MID(F415, H415+1, I415-H415-1))</f>
        <v>645</v>
      </c>
      <c r="N415" s="2">
        <f>IF(J415&lt;&gt;"","",LEN(M415))</f>
        <v>3</v>
      </c>
      <c r="O415" s="2">
        <f>IF(J415&lt;&gt;"","",K415*M415)</f>
        <v>481170</v>
      </c>
      <c r="R415" s="1" t="str">
        <v>218,944)!)&amp;&gt;'(where()+</v>
      </c>
      <c r="S415" s="1" t="str">
        <v>690,413</v>
      </c>
      <c r="T415" s="1" t="str">
        <v>690</v>
      </c>
      <c r="U415" s="1" t="str">
        <v>413</v>
      </c>
      <c r="V415" s="1">
        <v>284970</v>
      </c>
    </row>
    <row r="416" spans="4:22" x14ac:dyDescent="0.3">
      <c r="D416" s="2">
        <v>413</v>
      </c>
      <c r="E416" s="2">
        <f>SEARCH("mul",$C$4,E415+1)</f>
        <v>10089</v>
      </c>
      <c r="F416" s="2" t="str">
        <f>MID($C$4,E416,$F$1)</f>
        <v>mul(523,150)/%(</v>
      </c>
      <c r="G416" s="3">
        <f>SEARCH("(",F416)</f>
        <v>4</v>
      </c>
      <c r="H416" s="3">
        <f>SEARCH(",",F416)</f>
        <v>8</v>
      </c>
      <c r="I416" s="3">
        <f>SEARCH(")",F416)</f>
        <v>12</v>
      </c>
      <c r="J416" s="2" t="str">
        <f>IF(OR(ISERROR(G416),ISERROR(H416),ISERROR(I416)),"CORRUPT!","")</f>
        <v/>
      </c>
      <c r="K416" s="2" t="str">
        <f>IF(J416&lt;&gt;"","",MID(F416, G416+1, H416-G416-1))</f>
        <v>523</v>
      </c>
      <c r="L416" s="2">
        <f>IF(J416&lt;&gt;"","",LEN(K416))</f>
        <v>3</v>
      </c>
      <c r="M416" s="2" t="str">
        <f>IF(J416&lt;&gt;"","",MID(F416, H416+1, I416-H416-1))</f>
        <v>150</v>
      </c>
      <c r="N416" s="2">
        <f>IF(J416&lt;&gt;"","",LEN(M416))</f>
        <v>3</v>
      </c>
      <c r="O416" s="2">
        <f>IF(J416&lt;&gt;"","",K416*M416)</f>
        <v>78450</v>
      </c>
      <c r="R416" s="1" t="str">
        <v>686,595)#&amp;when()</v>
      </c>
      <c r="S416" s="1" t="str">
        <v>23,907</v>
      </c>
      <c r="T416" s="1" t="str">
        <v>23</v>
      </c>
      <c r="U416" s="1" t="str">
        <v>907</v>
      </c>
      <c r="V416" s="1">
        <v>20861</v>
      </c>
    </row>
    <row r="417" spans="4:22" x14ac:dyDescent="0.3">
      <c r="D417" s="2">
        <v>414</v>
      </c>
      <c r="E417" s="2">
        <f>SEARCH("mul",$C$4,E416+1)</f>
        <v>10125</v>
      </c>
      <c r="F417" s="2" t="str">
        <f>MID($C$4,E417,$F$1)</f>
        <v>mul(446,624),'-</v>
      </c>
      <c r="G417" s="3">
        <f>SEARCH("(",F417)</f>
        <v>4</v>
      </c>
      <c r="H417" s="3">
        <f>SEARCH(",",F417)</f>
        <v>8</v>
      </c>
      <c r="I417" s="3">
        <f>SEARCH(")",F417)</f>
        <v>12</v>
      </c>
      <c r="J417" s="2" t="str">
        <f>IF(OR(ISERROR(G417),ISERROR(H417),ISERROR(I417)),"CORRUPT!","")</f>
        <v/>
      </c>
      <c r="K417" s="2" t="str">
        <f>IF(J417&lt;&gt;"","",MID(F417, G417+1, H417-G417-1))</f>
        <v>446</v>
      </c>
      <c r="L417" s="2">
        <f>IF(J417&lt;&gt;"","",LEN(K417))</f>
        <v>3</v>
      </c>
      <c r="M417" s="2" t="str">
        <f>IF(J417&lt;&gt;"","",MID(F417, H417+1, I417-H417-1))</f>
        <v>624</v>
      </c>
      <c r="N417" s="2">
        <f>IF(J417&lt;&gt;"","",LEN(M417))</f>
        <v>3</v>
      </c>
      <c r="O417" s="2">
        <f>IF(J417&lt;&gt;"","",K417*M417)</f>
        <v>278304</v>
      </c>
      <c r="R417" s="1" t="str">
        <v>916,990))what()</v>
      </c>
      <c r="S417" s="1" t="str">
        <v>65,111</v>
      </c>
      <c r="T417" s="1" t="str">
        <v>65</v>
      </c>
      <c r="U417" s="1" t="str">
        <v>111</v>
      </c>
      <c r="V417" s="1">
        <v>7215</v>
      </c>
    </row>
    <row r="418" spans="4:22" x14ac:dyDescent="0.3">
      <c r="D418" s="2">
        <v>415</v>
      </c>
      <c r="E418" s="2">
        <f>SEARCH("mul",$C$4,E417+1)</f>
        <v>10140</v>
      </c>
      <c r="F418" s="2" t="str">
        <f>MID($C$4,E418,$F$1)</f>
        <v>mul(605,440),fr</v>
      </c>
      <c r="G418" s="3">
        <f>SEARCH("(",F418)</f>
        <v>4</v>
      </c>
      <c r="H418" s="3">
        <f>SEARCH(",",F418)</f>
        <v>8</v>
      </c>
      <c r="I418" s="3">
        <f>SEARCH(")",F418)</f>
        <v>12</v>
      </c>
      <c r="J418" s="2" t="str">
        <f>IF(OR(ISERROR(G418),ISERROR(H418),ISERROR(I418)),"CORRUPT!","")</f>
        <v/>
      </c>
      <c r="K418" s="2" t="str">
        <f>IF(J418&lt;&gt;"","",MID(F418, G418+1, H418-G418-1))</f>
        <v>605</v>
      </c>
      <c r="L418" s="2">
        <f>IF(J418&lt;&gt;"","",LEN(K418))</f>
        <v>3</v>
      </c>
      <c r="M418" s="2" t="str">
        <f>IF(J418&lt;&gt;"","",MID(F418, H418+1, I418-H418-1))</f>
        <v>440</v>
      </c>
      <c r="N418" s="2">
        <f>IF(J418&lt;&gt;"","",LEN(M418))</f>
        <v>3</v>
      </c>
      <c r="O418" s="2">
        <f>IF(J418&lt;&gt;"","",K418*M418)</f>
        <v>266200</v>
      </c>
      <c r="R418" s="1" t="str">
        <v>414,411)&gt;why()&amp;select()!}why() ?&gt;</v>
      </c>
      <c r="S418" s="1" t="str">
        <v>793,643</v>
      </c>
      <c r="T418" s="1" t="str">
        <v>793</v>
      </c>
      <c r="U418" s="1" t="str">
        <v>643</v>
      </c>
      <c r="V418" s="1">
        <v>509899</v>
      </c>
    </row>
    <row r="419" spans="4:22" x14ac:dyDescent="0.3">
      <c r="D419" s="2">
        <v>416</v>
      </c>
      <c r="E419" s="2">
        <f>SEARCH("mul",$C$4,E418+1)</f>
        <v>10169</v>
      </c>
      <c r="F419" s="2" t="str">
        <f>MID($C$4,E419,$F$1)</f>
        <v>mul(17,117) &gt;$w</v>
      </c>
      <c r="G419" s="3">
        <f>SEARCH("(",F419)</f>
        <v>4</v>
      </c>
      <c r="H419" s="3">
        <f>SEARCH(",",F419)</f>
        <v>7</v>
      </c>
      <c r="I419" s="3">
        <f>SEARCH(")",F419)</f>
        <v>11</v>
      </c>
      <c r="J419" s="2" t="str">
        <f>IF(OR(ISERROR(G419),ISERROR(H419),ISERROR(I419)),"CORRUPT!","")</f>
        <v/>
      </c>
      <c r="K419" s="2" t="str">
        <f>IF(J419&lt;&gt;"","",MID(F419, G419+1, H419-G419-1))</f>
        <v>17</v>
      </c>
      <c r="L419" s="2">
        <f>IF(J419&lt;&gt;"","",LEN(K419))</f>
        <v>2</v>
      </c>
      <c r="M419" s="2" t="str">
        <f>IF(J419&lt;&gt;"","",MID(F419, H419+1, I419-H419-1))</f>
        <v>117</v>
      </c>
      <c r="N419" s="2">
        <f>IF(J419&lt;&gt;"","",LEN(M419))</f>
        <v>3</v>
      </c>
      <c r="O419" s="2">
        <f>IF(J419&lt;&gt;"","",K419*M419)</f>
        <v>1989</v>
      </c>
      <c r="R419" s="1" t="str">
        <v>820,386)select()</v>
      </c>
      <c r="S419" s="1" t="str">
        <v>481,441</v>
      </c>
      <c r="T419" s="1" t="str">
        <v>481</v>
      </c>
      <c r="U419" s="1" t="str">
        <v>441</v>
      </c>
      <c r="V419" s="1">
        <v>212121</v>
      </c>
    </row>
    <row r="420" spans="4:22" x14ac:dyDescent="0.3">
      <c r="D420" s="2">
        <v>417</v>
      </c>
      <c r="E420" s="2">
        <f>SEARCH("mul",$C$4,E419+1)</f>
        <v>10195</v>
      </c>
      <c r="F420" s="2" t="str">
        <f>MID($C$4,E420,$F$1)</f>
        <v>mul(988,667)mul</v>
      </c>
      <c r="G420" s="3">
        <f>SEARCH("(",F420)</f>
        <v>4</v>
      </c>
      <c r="H420" s="3">
        <f>SEARCH(",",F420)</f>
        <v>8</v>
      </c>
      <c r="I420" s="3">
        <f>SEARCH(")",F420)</f>
        <v>12</v>
      </c>
      <c r="J420" s="2" t="str">
        <f>IF(OR(ISERROR(G420),ISERROR(H420),ISERROR(I420)),"CORRUPT!","")</f>
        <v/>
      </c>
      <c r="K420" s="2" t="str">
        <f>IF(J420&lt;&gt;"","",MID(F420, G420+1, H420-G420-1))</f>
        <v>988</v>
      </c>
      <c r="L420" s="2">
        <f>IF(J420&lt;&gt;"","",LEN(K420))</f>
        <v>3</v>
      </c>
      <c r="M420" s="2" t="str">
        <f>IF(J420&lt;&gt;"","",MID(F420, H420+1, I420-H420-1))</f>
        <v>667</v>
      </c>
      <c r="N420" s="2">
        <f>IF(J420&lt;&gt;"","",LEN(M420))</f>
        <v>3</v>
      </c>
      <c r="O420" s="2">
        <f>IF(J420&lt;&gt;"","",K420*M420)</f>
        <v>658996</v>
      </c>
      <c r="R420" s="1" t="str">
        <v>324,473)</v>
      </c>
      <c r="S420" s="1" t="str">
        <v>796,772</v>
      </c>
      <c r="T420" s="1" t="str">
        <v>796</v>
      </c>
      <c r="U420" s="1" t="str">
        <v>772</v>
      </c>
      <c r="V420" s="1">
        <v>614512</v>
      </c>
    </row>
    <row r="421" spans="4:22" x14ac:dyDescent="0.3">
      <c r="D421" s="2">
        <v>418</v>
      </c>
      <c r="E421" s="2">
        <f>SEARCH("mul",$C$4,E420+1)</f>
        <v>10207</v>
      </c>
      <c r="F421" s="2" t="str">
        <f>MID($C$4,E421,$F$1)</f>
        <v>mul(828,197)'wh</v>
      </c>
      <c r="G421" s="3">
        <f>SEARCH("(",F421)</f>
        <v>4</v>
      </c>
      <c r="H421" s="3">
        <f>SEARCH(",",F421)</f>
        <v>8</v>
      </c>
      <c r="I421" s="3">
        <f>SEARCH(")",F421)</f>
        <v>12</v>
      </c>
      <c r="J421" s="2" t="str">
        <f>IF(OR(ISERROR(G421),ISERROR(H421),ISERROR(I421)),"CORRUPT!","")</f>
        <v/>
      </c>
      <c r="K421" s="2" t="str">
        <f>IF(J421&lt;&gt;"","",MID(F421, G421+1, H421-G421-1))</f>
        <v>828</v>
      </c>
      <c r="L421" s="2">
        <f>IF(J421&lt;&gt;"","",LEN(K421))</f>
        <v>3</v>
      </c>
      <c r="M421" s="2" t="str">
        <f>IF(J421&lt;&gt;"","",MID(F421, H421+1, I421-H421-1))</f>
        <v>197</v>
      </c>
      <c r="N421" s="2">
        <f>IF(J421&lt;&gt;"","",LEN(M421))</f>
        <v>3</v>
      </c>
      <c r="O421" s="2">
        <f>IF(J421&lt;&gt;"","",K421*M421)</f>
        <v>163116</v>
      </c>
      <c r="R421" s="1" t="str">
        <v>690,413)!&gt;$why()</v>
      </c>
      <c r="S421" s="1" t="str">
        <v>827,58</v>
      </c>
      <c r="T421" s="1" t="str">
        <v>827</v>
      </c>
      <c r="U421" s="1" t="str">
        <v>58</v>
      </c>
      <c r="V421" s="1">
        <v>47966</v>
      </c>
    </row>
    <row r="422" spans="4:22" x14ac:dyDescent="0.3">
      <c r="D422" s="2">
        <v>419</v>
      </c>
      <c r="E422" s="2">
        <f>SEARCH("mul",$C$4,E421+1)</f>
        <v>10236</v>
      </c>
      <c r="F422" s="2" t="str">
        <f>MID($C$4,E422,$F$1)</f>
        <v>mul(799,415)whe</v>
      </c>
      <c r="G422" s="3">
        <f>SEARCH("(",F422)</f>
        <v>4</v>
      </c>
      <c r="H422" s="3">
        <f>SEARCH(",",F422)</f>
        <v>8</v>
      </c>
      <c r="I422" s="3">
        <f>SEARCH(")",F422)</f>
        <v>12</v>
      </c>
      <c r="J422" s="2" t="str">
        <f>IF(OR(ISERROR(G422),ISERROR(H422),ISERROR(I422)),"CORRUPT!","")</f>
        <v/>
      </c>
      <c r="K422" s="2" t="str">
        <f>IF(J422&lt;&gt;"","",MID(F422, G422+1, H422-G422-1))</f>
        <v>799</v>
      </c>
      <c r="L422" s="2">
        <f>IF(J422&lt;&gt;"","",LEN(K422))</f>
        <v>3</v>
      </c>
      <c r="M422" s="2" t="str">
        <f>IF(J422&lt;&gt;"","",MID(F422, H422+1, I422-H422-1))</f>
        <v>415</v>
      </c>
      <c r="N422" s="2">
        <f>IF(J422&lt;&gt;"","",LEN(M422))</f>
        <v>3</v>
      </c>
      <c r="O422" s="2">
        <f>IF(J422&lt;&gt;"","",K422*M422)</f>
        <v>331585</v>
      </c>
      <c r="R422" s="1" t="str">
        <v>23,907)who()%&lt;who()))how()^</v>
      </c>
      <c r="S422" s="1" t="str">
        <v>579,551</v>
      </c>
      <c r="T422" s="1" t="str">
        <v>579</v>
      </c>
      <c r="U422" s="1" t="str">
        <v>551</v>
      </c>
      <c r="V422" s="1">
        <v>319029</v>
      </c>
    </row>
    <row r="423" spans="4:22" x14ac:dyDescent="0.3">
      <c r="D423" s="2">
        <v>420</v>
      </c>
      <c r="E423" s="2">
        <f>SEARCH("mul",$C$4,E422+1)</f>
        <v>10280</v>
      </c>
      <c r="F423" s="2" t="str">
        <f>MID($C$4,E423,$F$1)</f>
        <v>mul(122,243)why</v>
      </c>
      <c r="G423" s="3">
        <f>SEARCH("(",F423)</f>
        <v>4</v>
      </c>
      <c r="H423" s="3">
        <f>SEARCH(",",F423)</f>
        <v>8</v>
      </c>
      <c r="I423" s="3">
        <f>SEARCH(")",F423)</f>
        <v>12</v>
      </c>
      <c r="J423" s="2" t="str">
        <f>IF(OR(ISERROR(G423),ISERROR(H423),ISERROR(I423)),"CORRUPT!","")</f>
        <v/>
      </c>
      <c r="K423" s="2" t="str">
        <f>IF(J423&lt;&gt;"","",MID(F423, G423+1, H423-G423-1))</f>
        <v>122</v>
      </c>
      <c r="L423" s="2">
        <f>IF(J423&lt;&gt;"","",LEN(K423))</f>
        <v>3</v>
      </c>
      <c r="M423" s="2" t="str">
        <f>IF(J423&lt;&gt;"","",MID(F423, H423+1, I423-H423-1))</f>
        <v>243</v>
      </c>
      <c r="N423" s="2">
        <f>IF(J423&lt;&gt;"","",LEN(M423))</f>
        <v>3</v>
      </c>
      <c r="O423" s="2">
        <f>IF(J423&lt;&gt;"","",K423*M423)</f>
        <v>29646</v>
      </c>
      <c r="R423" s="1" t="str">
        <v>65,111)where()^$</v>
      </c>
      <c r="S423" s="1" t="str">
        <v>359,283</v>
      </c>
      <c r="T423" s="1" t="str">
        <v>359</v>
      </c>
      <c r="U423" s="1" t="str">
        <v>283</v>
      </c>
      <c r="V423" s="1">
        <v>101597</v>
      </c>
    </row>
    <row r="424" spans="4:22" x14ac:dyDescent="0.3">
      <c r="D424" s="2">
        <v>421</v>
      </c>
      <c r="E424" s="2">
        <f>SEARCH("mul",$C$4,E423+1)</f>
        <v>10353</v>
      </c>
      <c r="F424" s="2" t="str">
        <f>MID($C$4,E424,$F$1)</f>
        <v>mul(218,944)!)&amp;</v>
      </c>
      <c r="G424" s="3">
        <f>SEARCH("(",F424)</f>
        <v>4</v>
      </c>
      <c r="H424" s="3">
        <f>SEARCH(",",F424)</f>
        <v>8</v>
      </c>
      <c r="I424" s="3">
        <f>SEARCH(")",F424)</f>
        <v>12</v>
      </c>
      <c r="J424" s="2" t="str">
        <f>IF(OR(ISERROR(G424),ISERROR(H424),ISERROR(I424)),"CORRUPT!","")</f>
        <v/>
      </c>
      <c r="K424" s="2" t="str">
        <f>IF(J424&lt;&gt;"","",MID(F424, G424+1, H424-G424-1))</f>
        <v>218</v>
      </c>
      <c r="L424" s="2">
        <f>IF(J424&lt;&gt;"","",LEN(K424))</f>
        <v>3</v>
      </c>
      <c r="M424" s="2" t="str">
        <f>IF(J424&lt;&gt;"","",MID(F424, H424+1, I424-H424-1))</f>
        <v>944</v>
      </c>
      <c r="N424" s="2">
        <f>IF(J424&lt;&gt;"","",LEN(M424))</f>
        <v>3</v>
      </c>
      <c r="O424" s="2">
        <f>IF(J424&lt;&gt;"","",K424*M424)</f>
        <v>205792</v>
      </c>
      <c r="R424" s="1" t="str">
        <v xml:space="preserve">793,643)&amp;who() </v>
      </c>
      <c r="S424" s="1" t="str">
        <v>238,664</v>
      </c>
      <c r="T424" s="1" t="str">
        <v>238</v>
      </c>
      <c r="U424" s="1" t="str">
        <v>664</v>
      </c>
      <c r="V424" s="1">
        <v>158032</v>
      </c>
    </row>
    <row r="425" spans="4:22" x14ac:dyDescent="0.3">
      <c r="D425" s="2">
        <v>422</v>
      </c>
      <c r="E425" s="2">
        <f>SEARCH("mul",$C$4,E424+1)</f>
        <v>10379</v>
      </c>
      <c r="F425" s="2" t="str">
        <f>MID($C$4,E425,$F$1)</f>
        <v>mul(686,595)#&amp;w</v>
      </c>
      <c r="G425" s="3">
        <f>SEARCH("(",F425)</f>
        <v>4</v>
      </c>
      <c r="H425" s="3">
        <f>SEARCH(",",F425)</f>
        <v>8</v>
      </c>
      <c r="I425" s="3">
        <f>SEARCH(")",F425)</f>
        <v>12</v>
      </c>
      <c r="J425" s="2" t="str">
        <f>IF(OR(ISERROR(G425),ISERROR(H425),ISERROR(I425)),"CORRUPT!","")</f>
        <v/>
      </c>
      <c r="K425" s="2" t="str">
        <f>IF(J425&lt;&gt;"","",MID(F425, G425+1, H425-G425-1))</f>
        <v>686</v>
      </c>
      <c r="L425" s="2">
        <f>IF(J425&lt;&gt;"","",LEN(K425))</f>
        <v>3</v>
      </c>
      <c r="M425" s="2" t="str">
        <f>IF(J425&lt;&gt;"","",MID(F425, H425+1, I425-H425-1))</f>
        <v>595</v>
      </c>
      <c r="N425" s="2">
        <f>IF(J425&lt;&gt;"","",LEN(M425))</f>
        <v>3</v>
      </c>
      <c r="O425" s="2">
        <f>IF(J425&lt;&gt;"","",K425*M425)</f>
        <v>408170</v>
      </c>
      <c r="R425" s="1" t="str">
        <v>481,441)+&lt;</v>
      </c>
      <c r="S425" s="1" t="str">
        <v>128,702</v>
      </c>
      <c r="T425" s="1" t="str">
        <v>128</v>
      </c>
      <c r="U425" s="1" t="str">
        <v>702</v>
      </c>
      <c r="V425" s="1">
        <v>89856</v>
      </c>
    </row>
    <row r="426" spans="4:22" x14ac:dyDescent="0.3">
      <c r="D426" s="2">
        <v>423</v>
      </c>
      <c r="E426" s="2">
        <f>SEARCH("mul",$C$4,E425+1)</f>
        <v>10399</v>
      </c>
      <c r="F426" s="2" t="str">
        <f>MID($C$4,E426,$F$1)</f>
        <v>mul(916,990))wh</v>
      </c>
      <c r="G426" s="3">
        <f>SEARCH("(",F426)</f>
        <v>4</v>
      </c>
      <c r="H426" s="3">
        <f>SEARCH(",",F426)</f>
        <v>8</v>
      </c>
      <c r="I426" s="3">
        <f>SEARCH(")",F426)</f>
        <v>12</v>
      </c>
      <c r="J426" s="2" t="str">
        <f>IF(OR(ISERROR(G426),ISERROR(H426),ISERROR(I426)),"CORRUPT!","")</f>
        <v/>
      </c>
      <c r="K426" s="2" t="str">
        <f>IF(J426&lt;&gt;"","",MID(F426, G426+1, H426-G426-1))</f>
        <v>916</v>
      </c>
      <c r="L426" s="2">
        <f>IF(J426&lt;&gt;"","",LEN(K426))</f>
        <v>3</v>
      </c>
      <c r="M426" s="2" t="str">
        <f>IF(J426&lt;&gt;"","",MID(F426, H426+1, I426-H426-1))</f>
        <v>990</v>
      </c>
      <c r="N426" s="2">
        <f>IF(J426&lt;&gt;"","",LEN(M426))</f>
        <v>3</v>
      </c>
      <c r="O426" s="2">
        <f>IF(J426&lt;&gt;"","",K426*M426)</f>
        <v>906840</v>
      </c>
      <c r="R426" s="1" t="str">
        <v>796,772)#^</v>
      </c>
      <c r="S426" s="1" t="str">
        <v>750,811</v>
      </c>
      <c r="T426" s="1" t="str">
        <v>750</v>
      </c>
      <c r="U426" s="1" t="str">
        <v>811</v>
      </c>
      <c r="V426" s="1">
        <v>608250</v>
      </c>
    </row>
    <row r="427" spans="4:22" x14ac:dyDescent="0.3">
      <c r="D427" s="2">
        <v>424</v>
      </c>
      <c r="E427" s="2">
        <f>SEARCH("mul",$C$4,E426+1)</f>
        <v>10418</v>
      </c>
      <c r="F427" s="2" t="str">
        <f>MID($C$4,E427,$F$1)</f>
        <v>mul(414,411)&gt;wh</v>
      </c>
      <c r="G427" s="3">
        <f>SEARCH("(",F427)</f>
        <v>4</v>
      </c>
      <c r="H427" s="3">
        <f>SEARCH(",",F427)</f>
        <v>8</v>
      </c>
      <c r="I427" s="3">
        <f>SEARCH(")",F427)</f>
        <v>12</v>
      </c>
      <c r="J427" s="2" t="str">
        <f>IF(OR(ISERROR(G427),ISERROR(H427),ISERROR(I427)),"CORRUPT!","")</f>
        <v/>
      </c>
      <c r="K427" s="2" t="str">
        <f>IF(J427&lt;&gt;"","",MID(F427, G427+1, H427-G427-1))</f>
        <v>414</v>
      </c>
      <c r="L427" s="2">
        <f>IF(J427&lt;&gt;"","",LEN(K427))</f>
        <v>3</v>
      </c>
      <c r="M427" s="2" t="str">
        <f>IF(J427&lt;&gt;"","",MID(F427, H427+1, I427-H427-1))</f>
        <v>411</v>
      </c>
      <c r="N427" s="2">
        <f>IF(J427&lt;&gt;"","",LEN(M427))</f>
        <v>3</v>
      </c>
      <c r="O427" s="2">
        <f>IF(J427&lt;&gt;"","",K427*M427)</f>
        <v>170154</v>
      </c>
      <c r="R427" s="1" t="str">
        <v>827,58)]{where()*#&gt;</v>
      </c>
      <c r="S427" s="1" t="str">
        <v>640,613</v>
      </c>
      <c r="T427" s="1" t="str">
        <v>640</v>
      </c>
      <c r="U427" s="1" t="str">
        <v>613</v>
      </c>
      <c r="V427" s="1">
        <v>392320</v>
      </c>
    </row>
    <row r="428" spans="4:22" x14ac:dyDescent="0.3">
      <c r="D428" s="2">
        <v>425</v>
      </c>
      <c r="E428" s="2">
        <f>SEARCH("mul",$C$4,E427+1)</f>
        <v>10455</v>
      </c>
      <c r="F428" s="2" t="str">
        <f>MID($C$4,E428,$F$1)</f>
        <v>mul(820,386)sel</v>
      </c>
      <c r="G428" s="3">
        <f>SEARCH("(",F428)</f>
        <v>4</v>
      </c>
      <c r="H428" s="3">
        <f>SEARCH(",",F428)</f>
        <v>8</v>
      </c>
      <c r="I428" s="3">
        <f>SEARCH(")",F428)</f>
        <v>12</v>
      </c>
      <c r="J428" s="2" t="str">
        <f>IF(OR(ISERROR(G428),ISERROR(H428),ISERROR(I428)),"CORRUPT!","")</f>
        <v/>
      </c>
      <c r="K428" s="2" t="str">
        <f>IF(J428&lt;&gt;"","",MID(F428, G428+1, H428-G428-1))</f>
        <v>820</v>
      </c>
      <c r="L428" s="2">
        <f>IF(J428&lt;&gt;"","",LEN(K428))</f>
        <v>3</v>
      </c>
      <c r="M428" s="2" t="str">
        <f>IF(J428&lt;&gt;"","",MID(F428, H428+1, I428-H428-1))</f>
        <v>386</v>
      </c>
      <c r="N428" s="2">
        <f>IF(J428&lt;&gt;"","",LEN(M428))</f>
        <v>3</v>
      </c>
      <c r="O428" s="2">
        <f>IF(J428&lt;&gt;"","",K428*M428)</f>
        <v>316520</v>
      </c>
      <c r="R428" s="1" t="str">
        <v>579,551)where()when()how()?~&amp;@-why()&gt;</v>
      </c>
      <c r="S428" s="1" t="str">
        <v>314~${~*how(</v>
      </c>
      <c r="T428" s="1" t="e">
        <v>#N/A</v>
      </c>
      <c r="U428" s="1" t="e">
        <v>#N/A</v>
      </c>
      <c r="V428" s="1">
        <v>0</v>
      </c>
    </row>
    <row r="429" spans="4:22" x14ac:dyDescent="0.3">
      <c r="D429" s="2">
        <v>426</v>
      </c>
      <c r="E429" s="2">
        <f>SEARCH("mul",$C$4,E428+1)</f>
        <v>10475</v>
      </c>
      <c r="F429" s="2" t="str">
        <f>MID($C$4,E429,$F$1)</f>
        <v>mul(324,473)mul</v>
      </c>
      <c r="G429" s="3">
        <f>SEARCH("(",F429)</f>
        <v>4</v>
      </c>
      <c r="H429" s="3">
        <f>SEARCH(",",F429)</f>
        <v>8</v>
      </c>
      <c r="I429" s="3">
        <f>SEARCH(")",F429)</f>
        <v>12</v>
      </c>
      <c r="J429" s="2" t="str">
        <f>IF(OR(ISERROR(G429),ISERROR(H429),ISERROR(I429)),"CORRUPT!","")</f>
        <v/>
      </c>
      <c r="K429" s="2" t="str">
        <f>IF(J429&lt;&gt;"","",MID(F429, G429+1, H429-G429-1))</f>
        <v>324</v>
      </c>
      <c r="L429" s="2">
        <f>IF(J429&lt;&gt;"","",LEN(K429))</f>
        <v>3</v>
      </c>
      <c r="M429" s="2" t="str">
        <f>IF(J429&lt;&gt;"","",MID(F429, H429+1, I429-H429-1))</f>
        <v>473</v>
      </c>
      <c r="N429" s="2">
        <f>IF(J429&lt;&gt;"","",LEN(M429))</f>
        <v>3</v>
      </c>
      <c r="O429" s="2">
        <f>IF(J429&lt;&gt;"","",K429*M429)</f>
        <v>153252</v>
      </c>
      <c r="R429" s="1" t="str">
        <v>359,283)[don't() }</v>
      </c>
      <c r="S429" s="1" t="str">
        <v>593,269</v>
      </c>
      <c r="T429" s="1" t="str">
        <v>593</v>
      </c>
      <c r="U429" s="1" t="str">
        <v>269</v>
      </c>
      <c r="V429" s="1">
        <v>159517</v>
      </c>
    </row>
    <row r="430" spans="4:22" x14ac:dyDescent="0.3">
      <c r="D430" s="2">
        <v>427</v>
      </c>
      <c r="E430" s="2">
        <f>SEARCH("mul",$C$4,E429+1)</f>
        <v>10487</v>
      </c>
      <c r="F430" s="2" t="str">
        <f>MID($C$4,E430,$F$1)</f>
        <v>mul(690,413)!&gt;$</v>
      </c>
      <c r="G430" s="3">
        <f>SEARCH("(",F430)</f>
        <v>4</v>
      </c>
      <c r="H430" s="3">
        <f>SEARCH(",",F430)</f>
        <v>8</v>
      </c>
      <c r="I430" s="3">
        <f>SEARCH(")",F430)</f>
        <v>12</v>
      </c>
      <c r="J430" s="2" t="str">
        <f>IF(OR(ISERROR(G430),ISERROR(H430),ISERROR(I430)),"CORRUPT!","")</f>
        <v/>
      </c>
      <c r="K430" s="2" t="str">
        <f>IF(J430&lt;&gt;"","",MID(F430, G430+1, H430-G430-1))</f>
        <v>690</v>
      </c>
      <c r="L430" s="2">
        <f>IF(J430&lt;&gt;"","",LEN(K430))</f>
        <v>3</v>
      </c>
      <c r="M430" s="2" t="str">
        <f>IF(J430&lt;&gt;"","",MID(F430, H430+1, I430-H430-1))</f>
        <v>413</v>
      </c>
      <c r="N430" s="2">
        <f>IF(J430&lt;&gt;"","",LEN(M430))</f>
        <v>3</v>
      </c>
      <c r="O430" s="2">
        <f>IF(J430&lt;&gt;"","",K430*M430)</f>
        <v>284970</v>
      </c>
      <c r="R430" s="1" t="str">
        <v>238,664)!]~^^#(why()</v>
      </c>
      <c r="S430" s="1" t="str">
        <v>865,609</v>
      </c>
      <c r="T430" s="1" t="str">
        <v>865</v>
      </c>
      <c r="U430" s="1" t="str">
        <v>609</v>
      </c>
      <c r="V430" s="1">
        <v>526785</v>
      </c>
    </row>
    <row r="431" spans="4:22" x14ac:dyDescent="0.3">
      <c r="D431" s="2">
        <v>428</v>
      </c>
      <c r="E431" s="2">
        <f>SEARCH("mul",$C$4,E430+1)</f>
        <v>10507</v>
      </c>
      <c r="F431" s="2" t="str">
        <f>MID($C$4,E431,$F$1)</f>
        <v>mul(23,907)who(</v>
      </c>
      <c r="G431" s="3">
        <f>SEARCH("(",F431)</f>
        <v>4</v>
      </c>
      <c r="H431" s="3">
        <f>SEARCH(",",F431)</f>
        <v>7</v>
      </c>
      <c r="I431" s="3">
        <f>SEARCH(")",F431)</f>
        <v>11</v>
      </c>
      <c r="J431" s="2" t="str">
        <f>IF(OR(ISERROR(G431),ISERROR(H431),ISERROR(I431)),"CORRUPT!","")</f>
        <v/>
      </c>
      <c r="K431" s="2" t="str">
        <f>IF(J431&lt;&gt;"","",MID(F431, G431+1, H431-G431-1))</f>
        <v>23</v>
      </c>
      <c r="L431" s="2">
        <f>IF(J431&lt;&gt;"","",LEN(K431))</f>
        <v>2</v>
      </c>
      <c r="M431" s="2" t="str">
        <f>IF(J431&lt;&gt;"","",MID(F431, H431+1, I431-H431-1))</f>
        <v>907</v>
      </c>
      <c r="N431" s="2">
        <f>IF(J431&lt;&gt;"","",LEN(M431))</f>
        <v>3</v>
      </c>
      <c r="O431" s="2">
        <f>IF(J431&lt;&gt;"","",K431*M431)</f>
        <v>20861</v>
      </c>
      <c r="R431" s="1" t="str">
        <v>128,702)</v>
      </c>
      <c r="S431" s="1" t="str">
        <v>784,462</v>
      </c>
      <c r="T431" s="1" t="str">
        <v>784</v>
      </c>
      <c r="U431" s="1" t="str">
        <v>462</v>
      </c>
      <c r="V431" s="1">
        <v>362208</v>
      </c>
    </row>
    <row r="432" spans="4:22" x14ac:dyDescent="0.3">
      <c r="D432" s="2">
        <v>429</v>
      </c>
      <c r="E432" s="2">
        <f>SEARCH("mul",$C$4,E431+1)</f>
        <v>10538</v>
      </c>
      <c r="F432" s="2" t="str">
        <f>MID($C$4,E432,$F$1)</f>
        <v>mul(65,111)wher</v>
      </c>
      <c r="G432" s="3">
        <f>SEARCH("(",F432)</f>
        <v>4</v>
      </c>
      <c r="H432" s="3">
        <f>SEARCH(",",F432)</f>
        <v>7</v>
      </c>
      <c r="I432" s="3">
        <f>SEARCH(")",F432)</f>
        <v>11</v>
      </c>
      <c r="J432" s="2" t="str">
        <f>IF(OR(ISERROR(G432),ISERROR(H432),ISERROR(I432)),"CORRUPT!","")</f>
        <v/>
      </c>
      <c r="K432" s="2" t="str">
        <f>IF(J432&lt;&gt;"","",MID(F432, G432+1, H432-G432-1))</f>
        <v>65</v>
      </c>
      <c r="L432" s="2">
        <f>IF(J432&lt;&gt;"","",LEN(K432))</f>
        <v>2</v>
      </c>
      <c r="M432" s="2" t="str">
        <f>IF(J432&lt;&gt;"","",MID(F432, H432+1, I432-H432-1))</f>
        <v>111</v>
      </c>
      <c r="N432" s="2">
        <f>IF(J432&lt;&gt;"","",LEN(M432))</f>
        <v>3</v>
      </c>
      <c r="O432" s="2">
        <f>IF(J432&lt;&gt;"","",K432*M432)</f>
        <v>7215</v>
      </c>
      <c r="R432" s="1" t="str">
        <v>750,811)what()',do()'@where()select()from(),/+&amp;</v>
      </c>
      <c r="S432" s="1" t="str">
        <v>902,580</v>
      </c>
      <c r="T432" s="1" t="str">
        <v>902</v>
      </c>
      <c r="U432" s="1" t="str">
        <v>580</v>
      </c>
      <c r="V432" s="1">
        <v>523160</v>
      </c>
    </row>
    <row r="433" spans="4:22" x14ac:dyDescent="0.3">
      <c r="D433" s="2">
        <v>430</v>
      </c>
      <c r="E433" s="2">
        <f>SEARCH("mul",$C$4,E432+1)</f>
        <v>10558</v>
      </c>
      <c r="F433" s="2" t="str">
        <f>MID($C$4,E433,$F$1)</f>
        <v>mul(793,643)&amp;wh</v>
      </c>
      <c r="G433" s="3">
        <f>SEARCH("(",F433)</f>
        <v>4</v>
      </c>
      <c r="H433" s="3">
        <f>SEARCH(",",F433)</f>
        <v>8</v>
      </c>
      <c r="I433" s="3">
        <f>SEARCH(")",F433)</f>
        <v>12</v>
      </c>
      <c r="J433" s="2" t="str">
        <f>IF(OR(ISERROR(G433),ISERROR(H433),ISERROR(I433)),"CORRUPT!","")</f>
        <v/>
      </c>
      <c r="K433" s="2" t="str">
        <f>IF(J433&lt;&gt;"","",MID(F433, G433+1, H433-G433-1))</f>
        <v>793</v>
      </c>
      <c r="L433" s="2">
        <f>IF(J433&lt;&gt;"","",LEN(K433))</f>
        <v>3</v>
      </c>
      <c r="M433" s="2" t="str">
        <f>IF(J433&lt;&gt;"","",MID(F433, H433+1, I433-H433-1))</f>
        <v>643</v>
      </c>
      <c r="N433" s="2">
        <f>IF(J433&lt;&gt;"","",LEN(M433))</f>
        <v>3</v>
      </c>
      <c r="O433" s="2">
        <f>IF(J433&lt;&gt;"","",K433*M433)</f>
        <v>509899</v>
      </c>
      <c r="R433" s="1" t="str">
        <v>640,613),&amp;%+why()^from()from()*</v>
      </c>
      <c r="S433" s="1" t="str">
        <v>22,360</v>
      </c>
      <c r="T433" s="1" t="str">
        <v>22</v>
      </c>
      <c r="U433" s="1" t="str">
        <v>360</v>
      </c>
      <c r="V433" s="1">
        <v>7920</v>
      </c>
    </row>
    <row r="434" spans="4:22" x14ac:dyDescent="0.3">
      <c r="D434" s="2">
        <v>431</v>
      </c>
      <c r="E434" s="2">
        <f>SEARCH("mul",$C$4,E433+1)</f>
        <v>10577</v>
      </c>
      <c r="F434" s="2" t="str">
        <f>MID($C$4,E434,$F$1)</f>
        <v>mul(481,441)+&lt;m</v>
      </c>
      <c r="G434" s="3">
        <f>SEARCH("(",F434)</f>
        <v>4</v>
      </c>
      <c r="H434" s="3">
        <f>SEARCH(",",F434)</f>
        <v>8</v>
      </c>
      <c r="I434" s="3">
        <f>SEARCH(")",F434)</f>
        <v>12</v>
      </c>
      <c r="J434" s="2" t="str">
        <f>IF(OR(ISERROR(G434),ISERROR(H434),ISERROR(I434)),"CORRUPT!","")</f>
        <v/>
      </c>
      <c r="K434" s="2" t="str">
        <f>IF(J434&lt;&gt;"","",MID(F434, G434+1, H434-G434-1))</f>
        <v>481</v>
      </c>
      <c r="L434" s="2">
        <f>IF(J434&lt;&gt;"","",LEN(K434))</f>
        <v>3</v>
      </c>
      <c r="M434" s="2" t="str">
        <f>IF(J434&lt;&gt;"","",MID(F434, H434+1, I434-H434-1))</f>
        <v>441</v>
      </c>
      <c r="N434" s="2">
        <f>IF(J434&lt;&gt;"","",LEN(M434))</f>
        <v>3</v>
      </c>
      <c r="O434" s="2">
        <f>IF(J434&lt;&gt;"","",K434*M434)</f>
        <v>212121</v>
      </c>
      <c r="R434" s="1" t="str">
        <v xml:space="preserve">314~${~*how()?what() </v>
      </c>
      <c r="S434" s="1" t="str">
        <v>650,584</v>
      </c>
      <c r="T434" s="1" t="str">
        <v>650</v>
      </c>
      <c r="U434" s="1" t="str">
        <v>584</v>
      </c>
      <c r="V434" s="1">
        <v>379600</v>
      </c>
    </row>
    <row r="435" spans="4:22" x14ac:dyDescent="0.3">
      <c r="D435" s="2">
        <v>432</v>
      </c>
      <c r="E435" s="2">
        <f>SEARCH("mul",$C$4,E434+1)</f>
        <v>10591</v>
      </c>
      <c r="F435" s="2" t="str">
        <f>MID($C$4,E435,$F$1)</f>
        <v>mul(796,772)#^m</v>
      </c>
      <c r="G435" s="3">
        <f>SEARCH("(",F435)</f>
        <v>4</v>
      </c>
      <c r="H435" s="3">
        <f>SEARCH(",",F435)</f>
        <v>8</v>
      </c>
      <c r="I435" s="3">
        <f>SEARCH(")",F435)</f>
        <v>12</v>
      </c>
      <c r="J435" s="2" t="str">
        <f>IF(OR(ISERROR(G435),ISERROR(H435),ISERROR(I435)),"CORRUPT!","")</f>
        <v/>
      </c>
      <c r="K435" s="2" t="str">
        <f>IF(J435&lt;&gt;"","",MID(F435, G435+1, H435-G435-1))</f>
        <v>796</v>
      </c>
      <c r="L435" s="2">
        <f>IF(J435&lt;&gt;"","",LEN(K435))</f>
        <v>3</v>
      </c>
      <c r="M435" s="2" t="str">
        <f>IF(J435&lt;&gt;"","",MID(F435, H435+1, I435-H435-1))</f>
        <v>772</v>
      </c>
      <c r="N435" s="2">
        <f>IF(J435&lt;&gt;"","",LEN(M435))</f>
        <v>3</v>
      </c>
      <c r="O435" s="2">
        <f>IF(J435&lt;&gt;"","",K435*M435)</f>
        <v>614512</v>
      </c>
      <c r="R435" s="1" t="str">
        <v>593,269)who()*</v>
      </c>
      <c r="S435" s="1" t="str">
        <v>173,450</v>
      </c>
      <c r="T435" s="1" t="str">
        <v>173</v>
      </c>
      <c r="U435" s="1" t="str">
        <v>450</v>
      </c>
      <c r="V435" s="1">
        <v>77850</v>
      </c>
    </row>
    <row r="436" spans="4:22" x14ac:dyDescent="0.3">
      <c r="D436" s="2">
        <v>433</v>
      </c>
      <c r="E436" s="2">
        <f>SEARCH("mul",$C$4,E435+1)</f>
        <v>10605</v>
      </c>
      <c r="F436" s="2" t="str">
        <f>MID($C$4,E436,$F$1)</f>
        <v>mul(827,58)]{wh</v>
      </c>
      <c r="G436" s="3">
        <f>SEARCH("(",F436)</f>
        <v>4</v>
      </c>
      <c r="H436" s="3">
        <f>SEARCH(",",F436)</f>
        <v>8</v>
      </c>
      <c r="I436" s="3">
        <f>SEARCH(")",F436)</f>
        <v>11</v>
      </c>
      <c r="J436" s="2" t="str">
        <f>IF(OR(ISERROR(G436),ISERROR(H436),ISERROR(I436)),"CORRUPT!","")</f>
        <v/>
      </c>
      <c r="K436" s="2" t="str">
        <f>IF(J436&lt;&gt;"","",MID(F436, G436+1, H436-G436-1))</f>
        <v>827</v>
      </c>
      <c r="L436" s="2">
        <f>IF(J436&lt;&gt;"","",LEN(K436))</f>
        <v>3</v>
      </c>
      <c r="M436" s="2" t="str">
        <f>IF(J436&lt;&gt;"","",MID(F436, H436+1, I436-H436-1))</f>
        <v>58</v>
      </c>
      <c r="N436" s="2">
        <f>IF(J436&lt;&gt;"","",LEN(M436))</f>
        <v>2</v>
      </c>
      <c r="O436" s="2">
        <f>IF(J436&lt;&gt;"","",K436*M436)</f>
        <v>47966</v>
      </c>
      <c r="R436" s="1" t="str">
        <v>865,609)what()@~$+</v>
      </c>
      <c r="S436" s="1" t="str">
        <v>126,232</v>
      </c>
      <c r="T436" s="1" t="str">
        <v>126</v>
      </c>
      <c r="U436" s="1" t="str">
        <v>232</v>
      </c>
      <c r="V436" s="1">
        <v>29232</v>
      </c>
    </row>
    <row r="437" spans="4:22" x14ac:dyDescent="0.3">
      <c r="D437" s="2">
        <v>434</v>
      </c>
      <c r="E437" s="2">
        <f>SEARCH("mul",$C$4,E436+1)</f>
        <v>10628</v>
      </c>
      <c r="F437" s="2" t="str">
        <f>MID($C$4,E437,$F$1)</f>
        <v>mul(579,551)whe</v>
      </c>
      <c r="G437" s="3">
        <f>SEARCH("(",F437)</f>
        <v>4</v>
      </c>
      <c r="H437" s="3">
        <f>SEARCH(",",F437)</f>
        <v>8</v>
      </c>
      <c r="I437" s="3">
        <f>SEARCH(")",F437)</f>
        <v>12</v>
      </c>
      <c r="J437" s="2" t="str">
        <f>IF(OR(ISERROR(G437),ISERROR(H437),ISERROR(I437)),"CORRUPT!","")</f>
        <v/>
      </c>
      <c r="K437" s="2" t="str">
        <f>IF(J437&lt;&gt;"","",MID(F437, G437+1, H437-G437-1))</f>
        <v>579</v>
      </c>
      <c r="L437" s="2">
        <f>IF(J437&lt;&gt;"","",LEN(K437))</f>
        <v>3</v>
      </c>
      <c r="M437" s="2" t="str">
        <f>IF(J437&lt;&gt;"","",MID(F437, H437+1, I437-H437-1))</f>
        <v>551</v>
      </c>
      <c r="N437" s="2">
        <f>IF(J437&lt;&gt;"","",LEN(M437))</f>
        <v>3</v>
      </c>
      <c r="O437" s="2">
        <f>IF(J437&lt;&gt;"","",K437*M437)</f>
        <v>319029</v>
      </c>
      <c r="R437" s="1" t="str">
        <v>784,462))],;;'what(){</v>
      </c>
      <c r="S437" s="1" t="str">
        <v>148,272</v>
      </c>
      <c r="T437" s="1" t="str">
        <v>148</v>
      </c>
      <c r="U437" s="1" t="str">
        <v>272</v>
      </c>
      <c r="V437" s="1">
        <v>40256</v>
      </c>
    </row>
    <row r="438" spans="4:22" x14ac:dyDescent="0.3">
      <c r="D438" s="2">
        <v>435</v>
      </c>
      <c r="E438" s="2">
        <f>SEARCH("mul",$C$4,E437+1)</f>
        <v>10669</v>
      </c>
      <c r="F438" s="2" t="str">
        <f>MID($C$4,E438,$F$1)</f>
        <v>mul(359,283)[do</v>
      </c>
      <c r="G438" s="3">
        <f>SEARCH("(",F438)</f>
        <v>4</v>
      </c>
      <c r="H438" s="3">
        <f>SEARCH(",",F438)</f>
        <v>8</v>
      </c>
      <c r="I438" s="3">
        <f>SEARCH(")",F438)</f>
        <v>12</v>
      </c>
      <c r="J438" s="2" t="str">
        <f>IF(OR(ISERROR(G438),ISERROR(H438),ISERROR(I438)),"CORRUPT!","")</f>
        <v/>
      </c>
      <c r="K438" s="2" t="str">
        <f>IF(J438&lt;&gt;"","",MID(F438, G438+1, H438-G438-1))</f>
        <v>359</v>
      </c>
      <c r="L438" s="2">
        <f>IF(J438&lt;&gt;"","",LEN(K438))</f>
        <v>3</v>
      </c>
      <c r="M438" s="2" t="str">
        <f>IF(J438&lt;&gt;"","",MID(F438, H438+1, I438-H438-1))</f>
        <v>283</v>
      </c>
      <c r="N438" s="2">
        <f>IF(J438&lt;&gt;"","",LEN(M438))</f>
        <v>3</v>
      </c>
      <c r="O438" s="2">
        <f>IF(J438&lt;&gt;"","",K438*M438)</f>
        <v>101597</v>
      </c>
      <c r="R438" s="1" t="str">
        <v>902,580)when()&lt;{~ ?&gt;~how()</v>
      </c>
      <c r="S438" s="1" t="str">
        <v>93,105</v>
      </c>
      <c r="T438" s="1" t="str">
        <v>93</v>
      </c>
      <c r="U438" s="1" t="str">
        <v>105</v>
      </c>
      <c r="V438" s="1">
        <v>9765</v>
      </c>
    </row>
    <row r="439" spans="4:22" x14ac:dyDescent="0.3">
      <c r="D439" s="2">
        <v>436</v>
      </c>
      <c r="E439" s="2">
        <f>SEARCH("mul",$C$4,E438+1)</f>
        <v>10691</v>
      </c>
      <c r="F439" s="2" t="str">
        <f>MID($C$4,E439,$F$1)</f>
        <v>mul(238,664)!]~</v>
      </c>
      <c r="G439" s="3">
        <f>SEARCH("(",F439)</f>
        <v>4</v>
      </c>
      <c r="H439" s="3">
        <f>SEARCH(",",F439)</f>
        <v>8</v>
      </c>
      <c r="I439" s="3">
        <f>SEARCH(")",F439)</f>
        <v>12</v>
      </c>
      <c r="J439" s="2" t="str">
        <f>IF(OR(ISERROR(G439),ISERROR(H439),ISERROR(I439)),"CORRUPT!","")</f>
        <v/>
      </c>
      <c r="K439" s="2" t="str">
        <f>IF(J439&lt;&gt;"","",MID(F439, G439+1, H439-G439-1))</f>
        <v>238</v>
      </c>
      <c r="L439" s="2">
        <f>IF(J439&lt;&gt;"","",LEN(K439))</f>
        <v>3</v>
      </c>
      <c r="M439" s="2" t="str">
        <f>IF(J439&lt;&gt;"","",MID(F439, H439+1, I439-H439-1))</f>
        <v>664</v>
      </c>
      <c r="N439" s="2">
        <f>IF(J439&lt;&gt;"","",LEN(M439))</f>
        <v>3</v>
      </c>
      <c r="O439" s="2">
        <f>IF(J439&lt;&gt;"","",K439*M439)</f>
        <v>158032</v>
      </c>
      <c r="R439" s="1" t="str">
        <v>22,360)]</v>
      </c>
      <c r="S439" s="1" t="str">
        <v>428,270</v>
      </c>
      <c r="T439" s="1" t="str">
        <v>428</v>
      </c>
      <c r="U439" s="1" t="str">
        <v>270</v>
      </c>
      <c r="V439" s="1">
        <v>115560</v>
      </c>
    </row>
    <row r="440" spans="4:22" x14ac:dyDescent="0.3">
      <c r="D440" s="2">
        <v>437</v>
      </c>
      <c r="E440" s="2">
        <f>SEARCH("mul",$C$4,E439+1)</f>
        <v>10715</v>
      </c>
      <c r="F440" s="2" t="str">
        <f>MID($C$4,E440,$F$1)</f>
        <v>mul(128,702)mul</v>
      </c>
      <c r="G440" s="3">
        <f>SEARCH("(",F440)</f>
        <v>4</v>
      </c>
      <c r="H440" s="3">
        <f>SEARCH(",",F440)</f>
        <v>8</v>
      </c>
      <c r="I440" s="3">
        <f>SEARCH(")",F440)</f>
        <v>12</v>
      </c>
      <c r="J440" s="2" t="str">
        <f>IF(OR(ISERROR(G440),ISERROR(H440),ISERROR(I440)),"CORRUPT!","")</f>
        <v/>
      </c>
      <c r="K440" s="2" t="str">
        <f>IF(J440&lt;&gt;"","",MID(F440, G440+1, H440-G440-1))</f>
        <v>128</v>
      </c>
      <c r="L440" s="2">
        <f>IF(J440&lt;&gt;"","",LEN(K440))</f>
        <v>3</v>
      </c>
      <c r="M440" s="2" t="str">
        <f>IF(J440&lt;&gt;"","",MID(F440, H440+1, I440-H440-1))</f>
        <v>702</v>
      </c>
      <c r="N440" s="2">
        <f>IF(J440&lt;&gt;"","",LEN(M440))</f>
        <v>3</v>
      </c>
      <c r="O440" s="2">
        <f>IF(J440&lt;&gt;"","",K440*M440)</f>
        <v>89856</v>
      </c>
      <c r="R440" s="1" t="str">
        <v>650,584)#select()!(why()/;+when()</v>
      </c>
      <c r="S440" s="1" t="str">
        <v>439,76</v>
      </c>
      <c r="T440" s="1" t="str">
        <v>439</v>
      </c>
      <c r="U440" s="1" t="str">
        <v>76</v>
      </c>
      <c r="V440" s="1">
        <v>33364</v>
      </c>
    </row>
    <row r="441" spans="4:22" x14ac:dyDescent="0.3">
      <c r="D441" s="2">
        <v>438</v>
      </c>
      <c r="E441" s="2">
        <f>SEARCH("mul",$C$4,E440+1)</f>
        <v>10727</v>
      </c>
      <c r="F441" s="2" t="str">
        <f>MID($C$4,E441,$F$1)</f>
        <v>mul(750,811)wha</v>
      </c>
      <c r="G441" s="3">
        <f>SEARCH("(",F441)</f>
        <v>4</v>
      </c>
      <c r="H441" s="3">
        <f>SEARCH(",",F441)</f>
        <v>8</v>
      </c>
      <c r="I441" s="3">
        <f>SEARCH(")",F441)</f>
        <v>12</v>
      </c>
      <c r="J441" s="2" t="str">
        <f>IF(OR(ISERROR(G441),ISERROR(H441),ISERROR(I441)),"CORRUPT!","")</f>
        <v/>
      </c>
      <c r="K441" s="2" t="str">
        <f>IF(J441&lt;&gt;"","",MID(F441, G441+1, H441-G441-1))</f>
        <v>750</v>
      </c>
      <c r="L441" s="2">
        <f>IF(J441&lt;&gt;"","",LEN(K441))</f>
        <v>3</v>
      </c>
      <c r="M441" s="2" t="str">
        <f>IF(J441&lt;&gt;"","",MID(F441, H441+1, I441-H441-1))</f>
        <v>811</v>
      </c>
      <c r="N441" s="2">
        <f>IF(J441&lt;&gt;"","",LEN(M441))</f>
        <v>3</v>
      </c>
      <c r="O441" s="2">
        <f>IF(J441&lt;&gt;"","",K441*M441)</f>
        <v>608250</v>
      </c>
      <c r="R441" s="1" t="str">
        <v>173,450)where()</v>
      </c>
      <c r="S441" s="1" t="str">
        <v>69,32</v>
      </c>
      <c r="T441" s="1" t="str">
        <v>69</v>
      </c>
      <c r="U441" s="1" t="str">
        <v>32</v>
      </c>
      <c r="V441" s="1">
        <v>2208</v>
      </c>
    </row>
    <row r="442" spans="4:22" x14ac:dyDescent="0.3">
      <c r="D442" s="2">
        <v>439</v>
      </c>
      <c r="E442" s="2">
        <f>SEARCH("mul",$C$4,E441+1)</f>
        <v>10778</v>
      </c>
      <c r="F442" s="2" t="str">
        <f>MID($C$4,E442,$F$1)</f>
        <v>mul(640,613),&amp;%</v>
      </c>
      <c r="G442" s="3">
        <f>SEARCH("(",F442)</f>
        <v>4</v>
      </c>
      <c r="H442" s="3">
        <f>SEARCH(",",F442)</f>
        <v>8</v>
      </c>
      <c r="I442" s="3">
        <f>SEARCH(")",F442)</f>
        <v>12</v>
      </c>
      <c r="J442" s="2" t="str">
        <f>IF(OR(ISERROR(G442),ISERROR(H442),ISERROR(I442)),"CORRUPT!","")</f>
        <v/>
      </c>
      <c r="K442" s="2" t="str">
        <f>IF(J442&lt;&gt;"","",MID(F442, G442+1, H442-G442-1))</f>
        <v>640</v>
      </c>
      <c r="L442" s="2">
        <f>IF(J442&lt;&gt;"","",LEN(K442))</f>
        <v>3</v>
      </c>
      <c r="M442" s="2" t="str">
        <f>IF(J442&lt;&gt;"","",MID(F442, H442+1, I442-H442-1))</f>
        <v>613</v>
      </c>
      <c r="N442" s="2">
        <f>IF(J442&lt;&gt;"","",LEN(M442))</f>
        <v>3</v>
      </c>
      <c r="O442" s="2">
        <f>IF(J442&lt;&gt;"","",K442*M442)</f>
        <v>392320</v>
      </c>
      <c r="R442" s="1" t="str">
        <v>126,232)(?@/^how()why()who()</v>
      </c>
      <c r="S442" s="1" t="str">
        <v>496,817</v>
      </c>
      <c r="T442" s="1" t="str">
        <v>496</v>
      </c>
      <c r="U442" s="1" t="str">
        <v>817</v>
      </c>
      <c r="V442" s="1">
        <v>405232</v>
      </c>
    </row>
    <row r="443" spans="4:22" x14ac:dyDescent="0.3">
      <c r="D443" s="2">
        <v>440</v>
      </c>
      <c r="E443" s="2">
        <f>SEARCH("mul",$C$4,E442+1)</f>
        <v>10813</v>
      </c>
      <c r="F443" s="2" t="str">
        <f>MID($C$4,E443,$F$1)</f>
        <v>mul(314~${~*how</v>
      </c>
      <c r="G443" s="3">
        <f>SEARCH("(",F443)</f>
        <v>4</v>
      </c>
      <c r="H443" s="3" t="e">
        <f>SEARCH(",",F443)</f>
        <v>#VALUE!</v>
      </c>
      <c r="I443" s="3" t="e">
        <f>SEARCH(")",F443)</f>
        <v>#VALUE!</v>
      </c>
      <c r="J443" s="2" t="str">
        <f>IF(OR(ISERROR(G443),ISERROR(H443),ISERROR(I443)),"CORRUPT!","")</f>
        <v>CORRUPT!</v>
      </c>
      <c r="K443" s="2" t="str">
        <f>IF(J443&lt;&gt;"","",MID(F443, G443+1, H443-G443-1))</f>
        <v/>
      </c>
      <c r="L443" s="2" t="str">
        <f>IF(J443&lt;&gt;"","",LEN(K443))</f>
        <v/>
      </c>
      <c r="M443" s="2" t="str">
        <f>IF(J443&lt;&gt;"","",MID(F443, H443+1, I443-H443-1))</f>
        <v/>
      </c>
      <c r="N443" s="2" t="str">
        <f>IF(J443&lt;&gt;"","",LEN(M443))</f>
        <v/>
      </c>
      <c r="O443" s="2" t="str">
        <f>IF(J443&lt;&gt;"","",K443*M443)</f>
        <v/>
      </c>
      <c r="R443" s="1" t="str">
        <v>148,272)&amp;?when()where()]</v>
      </c>
      <c r="S443" s="1" t="str">
        <v>472,276</v>
      </c>
      <c r="T443" s="1" t="str">
        <v>472</v>
      </c>
      <c r="U443" s="1" t="str">
        <v>276</v>
      </c>
      <c r="V443" s="1">
        <v>130272</v>
      </c>
    </row>
    <row r="444" spans="4:22" x14ac:dyDescent="0.3">
      <c r="D444" s="2">
        <v>441</v>
      </c>
      <c r="E444" s="2">
        <f>SEARCH("mul",$C$4,E443+1)</f>
        <v>10838</v>
      </c>
      <c r="F444" s="2" t="str">
        <f>MID($C$4,E444,$F$1)</f>
        <v>mul(593,269)who</v>
      </c>
      <c r="G444" s="3">
        <f>SEARCH("(",F444)</f>
        <v>4</v>
      </c>
      <c r="H444" s="3">
        <f>SEARCH(",",F444)</f>
        <v>8</v>
      </c>
      <c r="I444" s="3">
        <f>SEARCH(")",F444)</f>
        <v>12</v>
      </c>
      <c r="J444" s="2" t="str">
        <f>IF(OR(ISERROR(G444),ISERROR(H444),ISERROR(I444)),"CORRUPT!","")</f>
        <v/>
      </c>
      <c r="K444" s="2" t="str">
        <f>IF(J444&lt;&gt;"","",MID(F444, G444+1, H444-G444-1))</f>
        <v>593</v>
      </c>
      <c r="L444" s="2">
        <f>IF(J444&lt;&gt;"","",LEN(K444))</f>
        <v>3</v>
      </c>
      <c r="M444" s="2" t="str">
        <f>IF(J444&lt;&gt;"","",MID(F444, H444+1, I444-H444-1))</f>
        <v>269</v>
      </c>
      <c r="N444" s="2">
        <f>IF(J444&lt;&gt;"","",LEN(M444))</f>
        <v>3</v>
      </c>
      <c r="O444" s="2">
        <f>IF(J444&lt;&gt;"","",K444*M444)</f>
        <v>159517</v>
      </c>
      <c r="R444" s="1" t="str">
        <v>93,105)?!}!:@!</v>
      </c>
      <c r="S444" s="1" t="str">
        <v>334,580</v>
      </c>
      <c r="T444" s="1" t="str">
        <v>334</v>
      </c>
      <c r="U444" s="1" t="str">
        <v>580</v>
      </c>
      <c r="V444" s="1">
        <v>193720</v>
      </c>
    </row>
    <row r="445" spans="4:22" x14ac:dyDescent="0.3">
      <c r="D445" s="2">
        <v>442</v>
      </c>
      <c r="E445" s="2">
        <f>SEARCH("mul",$C$4,E444+1)</f>
        <v>10856</v>
      </c>
      <c r="F445" s="2" t="str">
        <f>MID($C$4,E445,$F$1)</f>
        <v>mul(865,609)wha</v>
      </c>
      <c r="G445" s="3">
        <f>SEARCH("(",F445)</f>
        <v>4</v>
      </c>
      <c r="H445" s="3">
        <f>SEARCH(",",F445)</f>
        <v>8</v>
      </c>
      <c r="I445" s="3">
        <f>SEARCH(")",F445)</f>
        <v>12</v>
      </c>
      <c r="J445" s="2" t="str">
        <f>IF(OR(ISERROR(G445),ISERROR(H445),ISERROR(I445)),"CORRUPT!","")</f>
        <v/>
      </c>
      <c r="K445" s="2" t="str">
        <f>IF(J445&lt;&gt;"","",MID(F445, G445+1, H445-G445-1))</f>
        <v>865</v>
      </c>
      <c r="L445" s="2">
        <f>IF(J445&lt;&gt;"","",LEN(K445))</f>
        <v>3</v>
      </c>
      <c r="M445" s="2" t="str">
        <f>IF(J445&lt;&gt;"","",MID(F445, H445+1, I445-H445-1))</f>
        <v>609</v>
      </c>
      <c r="N445" s="2">
        <f>IF(J445&lt;&gt;"","",LEN(M445))</f>
        <v>3</v>
      </c>
      <c r="O445" s="2">
        <f>IF(J445&lt;&gt;"","",K445*M445)</f>
        <v>526785</v>
      </c>
      <c r="R445" s="1" t="str">
        <v>428,270)- where(179,717)&gt;@!-,how()why()don't()!where()who()$:&lt;</v>
      </c>
      <c r="S445" s="1" t="str">
        <v>78,731</v>
      </c>
      <c r="T445" s="1" t="str">
        <v>78</v>
      </c>
      <c r="U445" s="1" t="str">
        <v>731</v>
      </c>
      <c r="V445" s="1">
        <v>57018</v>
      </c>
    </row>
    <row r="446" spans="4:22" x14ac:dyDescent="0.3">
      <c r="D446" s="2">
        <v>443</v>
      </c>
      <c r="E446" s="2">
        <f>SEARCH("mul",$C$4,E445+1)</f>
        <v>10878</v>
      </c>
      <c r="F446" s="2" t="str">
        <f>MID($C$4,E446,$F$1)</f>
        <v>mul(784,462))],</v>
      </c>
      <c r="G446" s="3">
        <f>SEARCH("(",F446)</f>
        <v>4</v>
      </c>
      <c r="H446" s="3">
        <f>SEARCH(",",F446)</f>
        <v>8</v>
      </c>
      <c r="I446" s="3">
        <f>SEARCH(")",F446)</f>
        <v>12</v>
      </c>
      <c r="J446" s="2" t="str">
        <f>IF(OR(ISERROR(G446),ISERROR(H446),ISERROR(I446)),"CORRUPT!","")</f>
        <v/>
      </c>
      <c r="K446" s="2" t="str">
        <f>IF(J446&lt;&gt;"","",MID(F446, G446+1, H446-G446-1))</f>
        <v>784</v>
      </c>
      <c r="L446" s="2">
        <f>IF(J446&lt;&gt;"","",LEN(K446))</f>
        <v>3</v>
      </c>
      <c r="M446" s="2" t="str">
        <f>IF(J446&lt;&gt;"","",MID(F446, H446+1, I446-H446-1))</f>
        <v>462</v>
      </c>
      <c r="N446" s="2">
        <f>IF(J446&lt;&gt;"","",LEN(M446))</f>
        <v>3</v>
      </c>
      <c r="O446" s="2">
        <f>IF(J446&lt;&gt;"","",K446*M446)</f>
        <v>362208</v>
      </c>
      <c r="R446" s="1" t="str">
        <v>439,76)*,^mul~</v>
      </c>
      <c r="S446" s="1" t="str">
        <v>584,89</v>
      </c>
      <c r="T446" s="1" t="str">
        <v>584</v>
      </c>
      <c r="U446" s="1" t="str">
        <v>89</v>
      </c>
      <c r="V446" s="1">
        <v>51976</v>
      </c>
    </row>
    <row r="447" spans="4:22" x14ac:dyDescent="0.3">
      <c r="D447" s="2">
        <v>444</v>
      </c>
      <c r="E447" s="2">
        <f>SEARCH("mul",$C$4,E446+1)</f>
        <v>10903</v>
      </c>
      <c r="F447" s="2" t="str">
        <f>MID($C$4,E447,$F$1)</f>
        <v>mul(902,580)whe</v>
      </c>
      <c r="G447" s="3">
        <f>SEARCH("(",F447)</f>
        <v>4</v>
      </c>
      <c r="H447" s="3">
        <f>SEARCH(",",F447)</f>
        <v>8</v>
      </c>
      <c r="I447" s="3">
        <f>SEARCH(")",F447)</f>
        <v>12</v>
      </c>
      <c r="J447" s="2" t="str">
        <f>IF(OR(ISERROR(G447),ISERROR(H447),ISERROR(I447)),"CORRUPT!","")</f>
        <v/>
      </c>
      <c r="K447" s="2" t="str">
        <f>IF(J447&lt;&gt;"","",MID(F447, G447+1, H447-G447-1))</f>
        <v>902</v>
      </c>
      <c r="L447" s="2">
        <f>IF(J447&lt;&gt;"","",LEN(K447))</f>
        <v>3</v>
      </c>
      <c r="M447" s="2" t="str">
        <f>IF(J447&lt;&gt;"","",MID(F447, H447+1, I447-H447-1))</f>
        <v>580</v>
      </c>
      <c r="N447" s="2">
        <f>IF(J447&lt;&gt;"","",LEN(M447))</f>
        <v>3</v>
      </c>
      <c r="O447" s="2">
        <f>IF(J447&lt;&gt;"","",K447*M447)</f>
        <v>523160</v>
      </c>
      <c r="R447" s="1" t="str">
        <v>69,32)!how()}**what()</v>
      </c>
      <c r="S447" s="1" t="str">
        <v>106,855</v>
      </c>
      <c r="T447" s="1" t="str">
        <v>106</v>
      </c>
      <c r="U447" s="1" t="str">
        <v>855</v>
      </c>
      <c r="V447" s="1">
        <v>90630</v>
      </c>
    </row>
    <row r="448" spans="4:22" x14ac:dyDescent="0.3">
      <c r="D448" s="2">
        <v>445</v>
      </c>
      <c r="E448" s="2">
        <f>SEARCH("mul",$C$4,E447+1)</f>
        <v>10933</v>
      </c>
      <c r="F448" s="2" t="str">
        <f>MID($C$4,E448,$F$1)</f>
        <v>mul(22,360)]mul</v>
      </c>
      <c r="G448" s="3">
        <f>SEARCH("(",F448)</f>
        <v>4</v>
      </c>
      <c r="H448" s="3">
        <f>SEARCH(",",F448)</f>
        <v>7</v>
      </c>
      <c r="I448" s="3">
        <f>SEARCH(")",F448)</f>
        <v>11</v>
      </c>
      <c r="J448" s="2" t="str">
        <f>IF(OR(ISERROR(G448),ISERROR(H448),ISERROR(I448)),"CORRUPT!","")</f>
        <v/>
      </c>
      <c r="K448" s="2" t="str">
        <f>IF(J448&lt;&gt;"","",MID(F448, G448+1, H448-G448-1))</f>
        <v>22</v>
      </c>
      <c r="L448" s="2">
        <f>IF(J448&lt;&gt;"","",LEN(K448))</f>
        <v>2</v>
      </c>
      <c r="M448" s="2" t="str">
        <f>IF(J448&lt;&gt;"","",MID(F448, H448+1, I448-H448-1))</f>
        <v>360</v>
      </c>
      <c r="N448" s="2">
        <f>IF(J448&lt;&gt;"","",LEN(M448))</f>
        <v>3</v>
      </c>
      <c r="O448" s="2">
        <f>IF(J448&lt;&gt;"","",K448*M448)</f>
        <v>7920</v>
      </c>
      <c r="R448" s="1" t="str">
        <v>496,817)when()*how()^+~how()from()mul{]&amp;when()-:}why(540,134)&gt;</v>
      </c>
      <c r="S448" s="1" t="str">
        <v>996,656</v>
      </c>
      <c r="T448" s="1" t="str">
        <v>996</v>
      </c>
      <c r="U448" s="1" t="str">
        <v>656</v>
      </c>
      <c r="V448" s="1">
        <v>653376</v>
      </c>
    </row>
    <row r="449" spans="4:22" x14ac:dyDescent="0.3">
      <c r="D449" s="2">
        <v>446</v>
      </c>
      <c r="E449" s="2">
        <f>SEARCH("mul",$C$4,E448+1)</f>
        <v>10945</v>
      </c>
      <c r="F449" s="2" t="str">
        <f>MID($C$4,E449,$F$1)</f>
        <v>mul(650,584)#se</v>
      </c>
      <c r="G449" s="3">
        <f>SEARCH("(",F449)</f>
        <v>4</v>
      </c>
      <c r="H449" s="3">
        <f>SEARCH(",",F449)</f>
        <v>8</v>
      </c>
      <c r="I449" s="3">
        <f>SEARCH(")",F449)</f>
        <v>12</v>
      </c>
      <c r="J449" s="2" t="str">
        <f>IF(OR(ISERROR(G449),ISERROR(H449),ISERROR(I449)),"CORRUPT!","")</f>
        <v/>
      </c>
      <c r="K449" s="2" t="str">
        <f>IF(J449&lt;&gt;"","",MID(F449, G449+1, H449-G449-1))</f>
        <v>650</v>
      </c>
      <c r="L449" s="2">
        <f>IF(J449&lt;&gt;"","",LEN(K449))</f>
        <v>3</v>
      </c>
      <c r="M449" s="2" t="str">
        <f>IF(J449&lt;&gt;"","",MID(F449, H449+1, I449-H449-1))</f>
        <v>584</v>
      </c>
      <c r="N449" s="2">
        <f>IF(J449&lt;&gt;"","",LEN(M449))</f>
        <v>3</v>
      </c>
      <c r="O449" s="2">
        <f>IF(J449&lt;&gt;"","",K449*M449)</f>
        <v>379600</v>
      </c>
      <c r="R449" s="1" t="str">
        <v>472,276)&lt;'&amp;where()</v>
      </c>
      <c r="S449" s="1" t="str">
        <v>873,777</v>
      </c>
      <c r="T449" s="1" t="str">
        <v>873</v>
      </c>
      <c r="U449" s="1" t="str">
        <v>777</v>
      </c>
      <c r="V449" s="1">
        <v>678321</v>
      </c>
    </row>
    <row r="450" spans="4:22" x14ac:dyDescent="0.3">
      <c r="D450" s="2">
        <v>447</v>
      </c>
      <c r="E450" s="2">
        <f>SEARCH("mul",$C$4,E449+1)</f>
        <v>10982</v>
      </c>
      <c r="F450" s="2" t="str">
        <f>MID($C$4,E450,$F$1)</f>
        <v>mul(173,450)whe</v>
      </c>
      <c r="G450" s="3">
        <f>SEARCH("(",F450)</f>
        <v>4</v>
      </c>
      <c r="H450" s="3">
        <f>SEARCH(",",F450)</f>
        <v>8</v>
      </c>
      <c r="I450" s="3">
        <f>SEARCH(")",F450)</f>
        <v>12</v>
      </c>
      <c r="J450" s="2" t="str">
        <f>IF(OR(ISERROR(G450),ISERROR(H450),ISERROR(I450)),"CORRUPT!","")</f>
        <v/>
      </c>
      <c r="K450" s="2" t="str">
        <f>IF(J450&lt;&gt;"","",MID(F450, G450+1, H450-G450-1))</f>
        <v>173</v>
      </c>
      <c r="L450" s="2">
        <f>IF(J450&lt;&gt;"","",LEN(K450))</f>
        <v>3</v>
      </c>
      <c r="M450" s="2" t="str">
        <f>IF(J450&lt;&gt;"","",MID(F450, H450+1, I450-H450-1))</f>
        <v>450</v>
      </c>
      <c r="N450" s="2">
        <f>IF(J450&lt;&gt;"","",LEN(M450))</f>
        <v>3</v>
      </c>
      <c r="O450" s="2">
        <f>IF(J450&lt;&gt;"","",K450*M450)</f>
        <v>77850</v>
      </c>
      <c r="R450" s="1" t="str">
        <v>334,580)'/-?+;(-</v>
      </c>
      <c r="S450" s="1" t="str">
        <v>186,441</v>
      </c>
      <c r="T450" s="1" t="str">
        <v>186</v>
      </c>
      <c r="U450" s="1" t="str">
        <v>441</v>
      </c>
      <c r="V450" s="1">
        <v>82026</v>
      </c>
    </row>
    <row r="451" spans="4:22" x14ac:dyDescent="0.3">
      <c r="D451" s="2">
        <v>448</v>
      </c>
      <c r="E451" s="2">
        <f>SEARCH("mul",$C$4,E450+1)</f>
        <v>11001</v>
      </c>
      <c r="F451" s="2" t="str">
        <f>MID($C$4,E451,$F$1)</f>
        <v>mul(126,232)(?@</v>
      </c>
      <c r="G451" s="3">
        <f>SEARCH("(",F451)</f>
        <v>4</v>
      </c>
      <c r="H451" s="3">
        <f>SEARCH(",",F451)</f>
        <v>8</v>
      </c>
      <c r="I451" s="3">
        <f>SEARCH(")",F451)</f>
        <v>12</v>
      </c>
      <c r="J451" s="2" t="str">
        <f>IF(OR(ISERROR(G451),ISERROR(H451),ISERROR(I451)),"CORRUPT!","")</f>
        <v/>
      </c>
      <c r="K451" s="2" t="str">
        <f>IF(J451&lt;&gt;"","",MID(F451, G451+1, H451-G451-1))</f>
        <v>126</v>
      </c>
      <c r="L451" s="2">
        <f>IF(J451&lt;&gt;"","",LEN(K451))</f>
        <v>3</v>
      </c>
      <c r="M451" s="2" t="str">
        <f>IF(J451&lt;&gt;"","",MID(F451, H451+1, I451-H451-1))</f>
        <v>232</v>
      </c>
      <c r="N451" s="2">
        <f>IF(J451&lt;&gt;"","",LEN(M451))</f>
        <v>3</v>
      </c>
      <c r="O451" s="2">
        <f>IF(J451&lt;&gt;"","",K451*M451)</f>
        <v>29232</v>
      </c>
      <c r="R451" s="1" t="str">
        <v>78,731)select()</v>
      </c>
      <c r="S451" s="1" t="str">
        <v>297,888</v>
      </c>
      <c r="T451" s="1" t="str">
        <v>297</v>
      </c>
      <c r="U451" s="1" t="str">
        <v>888</v>
      </c>
      <c r="V451" s="1">
        <v>263736</v>
      </c>
    </row>
    <row r="452" spans="4:22" x14ac:dyDescent="0.3">
      <c r="D452" s="2">
        <v>449</v>
      </c>
      <c r="E452" s="2">
        <f>SEARCH("mul",$C$4,E451+1)</f>
        <v>11033</v>
      </c>
      <c r="F452" s="2" t="str">
        <f>MID($C$4,E452,$F$1)</f>
        <v>mul(148,272)&amp;?w</v>
      </c>
      <c r="G452" s="3">
        <f>SEARCH("(",F452)</f>
        <v>4</v>
      </c>
      <c r="H452" s="3">
        <f>SEARCH(",",F452)</f>
        <v>8</v>
      </c>
      <c r="I452" s="3">
        <f>SEARCH(")",F452)</f>
        <v>12</v>
      </c>
      <c r="J452" s="2" t="str">
        <f>IF(OR(ISERROR(G452),ISERROR(H452),ISERROR(I452)),"CORRUPT!","")</f>
        <v/>
      </c>
      <c r="K452" s="2" t="str">
        <f>IF(J452&lt;&gt;"","",MID(F452, G452+1, H452-G452-1))</f>
        <v>148</v>
      </c>
      <c r="L452" s="2">
        <f>IF(J452&lt;&gt;"","",LEN(K452))</f>
        <v>3</v>
      </c>
      <c r="M452" s="2" t="str">
        <f>IF(J452&lt;&gt;"","",MID(F452, H452+1, I452-H452-1))</f>
        <v>272</v>
      </c>
      <c r="N452" s="2">
        <f>IF(J452&lt;&gt;"","",LEN(M452))</f>
        <v>3</v>
      </c>
      <c r="O452" s="2">
        <f>IF(J452&lt;&gt;"","",K452*M452)</f>
        <v>40256</v>
      </c>
      <c r="R452" s="1" t="str">
        <v>584,89)*/&gt;don't()/;''~how()?&lt;</v>
      </c>
      <c r="S452" s="1" t="str">
        <v>291,979</v>
      </c>
      <c r="T452" s="1" t="str">
        <v>291</v>
      </c>
      <c r="U452" s="1" t="str">
        <v>979</v>
      </c>
      <c r="V452" s="1">
        <v>284889</v>
      </c>
    </row>
    <row r="453" spans="4:22" x14ac:dyDescent="0.3">
      <c r="D453" s="2">
        <v>450</v>
      </c>
      <c r="E453" s="2">
        <f>SEARCH("mul",$C$4,E452+1)</f>
        <v>11061</v>
      </c>
      <c r="F453" s="2" t="str">
        <f>MID($C$4,E453,$F$1)</f>
        <v>mul(93,105)?!}!</v>
      </c>
      <c r="G453" s="3">
        <f>SEARCH("(",F453)</f>
        <v>4</v>
      </c>
      <c r="H453" s="3">
        <f>SEARCH(",",F453)</f>
        <v>7</v>
      </c>
      <c r="I453" s="3">
        <f>SEARCH(")",F453)</f>
        <v>11</v>
      </c>
      <c r="J453" s="2" t="str">
        <f>IF(OR(ISERROR(G453),ISERROR(H453),ISERROR(I453)),"CORRUPT!","")</f>
        <v/>
      </c>
      <c r="K453" s="2" t="str">
        <f>IF(J453&lt;&gt;"","",MID(F453, G453+1, H453-G453-1))</f>
        <v>93</v>
      </c>
      <c r="L453" s="2">
        <f>IF(J453&lt;&gt;"","",LEN(K453))</f>
        <v>2</v>
      </c>
      <c r="M453" s="2" t="str">
        <f>IF(J453&lt;&gt;"","",MID(F453, H453+1, I453-H453-1))</f>
        <v>105</v>
      </c>
      <c r="N453" s="2">
        <f>IF(J453&lt;&gt;"","",LEN(M453))</f>
        <v>3</v>
      </c>
      <c r="O453" s="2">
        <f>IF(J453&lt;&gt;"","",K453*M453)</f>
        <v>9765</v>
      </c>
      <c r="R453" s="1" t="str">
        <v>106,855)']</v>
      </c>
      <c r="S453" s="1" t="str">
        <v>983,656</v>
      </c>
      <c r="T453" s="1" t="str">
        <v>983</v>
      </c>
      <c r="U453" s="1" t="str">
        <v>656</v>
      </c>
      <c r="V453" s="1">
        <v>644848</v>
      </c>
    </row>
    <row r="454" spans="4:22" x14ac:dyDescent="0.3">
      <c r="D454" s="2">
        <v>451</v>
      </c>
      <c r="E454" s="2">
        <f>SEARCH("mul",$C$4,E453+1)</f>
        <v>11079</v>
      </c>
      <c r="F454" s="2" t="str">
        <f>MID($C$4,E454,$F$1)</f>
        <v>mul(428,270)- w</v>
      </c>
      <c r="G454" s="3">
        <f>SEARCH("(",F454)</f>
        <v>4</v>
      </c>
      <c r="H454" s="3">
        <f>SEARCH(",",F454)</f>
        <v>8</v>
      </c>
      <c r="I454" s="3">
        <f>SEARCH(")",F454)</f>
        <v>12</v>
      </c>
      <c r="J454" s="2" t="str">
        <f>IF(OR(ISERROR(G454),ISERROR(H454),ISERROR(I454)),"CORRUPT!","")</f>
        <v/>
      </c>
      <c r="K454" s="2" t="str">
        <f>IF(J454&lt;&gt;"","",MID(F454, G454+1, H454-G454-1))</f>
        <v>428</v>
      </c>
      <c r="L454" s="2">
        <f>IF(J454&lt;&gt;"","",LEN(K454))</f>
        <v>3</v>
      </c>
      <c r="M454" s="2" t="str">
        <f>IF(J454&lt;&gt;"","",MID(F454, H454+1, I454-H454-1))</f>
        <v>270</v>
      </c>
      <c r="N454" s="2">
        <f>IF(J454&lt;&gt;"","",LEN(M454))</f>
        <v>3</v>
      </c>
      <c r="O454" s="2">
        <f>IF(J454&lt;&gt;"","",K454*M454)</f>
        <v>115560</v>
      </c>
      <c r="R454" s="1" t="str">
        <v>996,656){%:</v>
      </c>
      <c r="S454" s="1" t="str">
        <v>340,628</v>
      </c>
      <c r="T454" s="1" t="str">
        <v>340</v>
      </c>
      <c r="U454" s="1" t="str">
        <v>628</v>
      </c>
      <c r="V454" s="1">
        <v>213520</v>
      </c>
    </row>
    <row r="455" spans="4:22" x14ac:dyDescent="0.3">
      <c r="D455" s="2">
        <v>452</v>
      </c>
      <c r="E455" s="2">
        <f>SEARCH("mul",$C$4,E454+1)</f>
        <v>11145</v>
      </c>
      <c r="F455" s="2" t="str">
        <f>MID($C$4,E455,$F$1)</f>
        <v>mul(439,76)*,^m</v>
      </c>
      <c r="G455" s="3">
        <f>SEARCH("(",F455)</f>
        <v>4</v>
      </c>
      <c r="H455" s="3">
        <f>SEARCH(",",F455)</f>
        <v>8</v>
      </c>
      <c r="I455" s="3">
        <f>SEARCH(")",F455)</f>
        <v>11</v>
      </c>
      <c r="J455" s="2" t="str">
        <f>IF(OR(ISERROR(G455),ISERROR(H455),ISERROR(I455)),"CORRUPT!","")</f>
        <v/>
      </c>
      <c r="K455" s="2" t="str">
        <f>IF(J455&lt;&gt;"","",MID(F455, G455+1, H455-G455-1))</f>
        <v>439</v>
      </c>
      <c r="L455" s="2">
        <f>IF(J455&lt;&gt;"","",LEN(K455))</f>
        <v>3</v>
      </c>
      <c r="M455" s="2" t="str">
        <f>IF(J455&lt;&gt;"","",MID(F455, H455+1, I455-H455-1))</f>
        <v>76</v>
      </c>
      <c r="N455" s="2">
        <f>IF(J455&lt;&gt;"","",LEN(M455))</f>
        <v>2</v>
      </c>
      <c r="O455" s="2">
        <f>IF(J455&lt;&gt;"","",K455*M455)</f>
        <v>33364</v>
      </c>
      <c r="R455" s="1" t="str">
        <v>873,777);how()(:#mulwhere(939,627)#^&gt;&lt;</v>
      </c>
      <c r="S455" s="1" t="str">
        <v>193,206</v>
      </c>
      <c r="T455" s="1" t="str">
        <v>193</v>
      </c>
      <c r="U455" s="1" t="str">
        <v>206</v>
      </c>
      <c r="V455" s="1">
        <v>39758</v>
      </c>
    </row>
    <row r="456" spans="4:22" x14ac:dyDescent="0.3">
      <c r="D456" s="2">
        <v>453</v>
      </c>
      <c r="E456" s="2">
        <f>SEARCH("mul",$C$4,E455+1)</f>
        <v>11159</v>
      </c>
      <c r="F456" s="2" t="str">
        <f>MID($C$4,E456,$F$1)</f>
        <v>mul~mul(69,32)!</v>
      </c>
      <c r="G456" s="3">
        <f>SEARCH("(",F456)</f>
        <v>8</v>
      </c>
      <c r="H456" s="3">
        <f>SEARCH(",",F456)</f>
        <v>11</v>
      </c>
      <c r="I456" s="3">
        <f>SEARCH(")",F456)</f>
        <v>14</v>
      </c>
      <c r="J456" s="2" t="str">
        <f>IF(OR(ISERROR(G456),ISERROR(H456),ISERROR(I456)),"CORRUPT!","")</f>
        <v/>
      </c>
      <c r="K456" s="2" t="str">
        <f>IF(J456&lt;&gt;"","",MID(F456, G456+1, H456-G456-1))</f>
        <v>69</v>
      </c>
      <c r="L456" s="2">
        <f>IF(J456&lt;&gt;"","",LEN(K456))</f>
        <v>2</v>
      </c>
      <c r="M456" s="2" t="str">
        <f>IF(J456&lt;&gt;"","",MID(F456, H456+1, I456-H456-1))</f>
        <v>32</v>
      </c>
      <c r="N456" s="2">
        <f>IF(J456&lt;&gt;"","",LEN(M456))</f>
        <v>2</v>
      </c>
      <c r="O456" s="2">
        <f>IF(J456&lt;&gt;"","",K456*M456)</f>
        <v>2208</v>
      </c>
      <c r="R456" s="1" t="str">
        <v>186,441)when()+?who()'$</v>
      </c>
      <c r="S456" s="1" t="str">
        <v>976,903</v>
      </c>
      <c r="T456" s="1" t="str">
        <v>976</v>
      </c>
      <c r="U456" s="1" t="str">
        <v>903</v>
      </c>
      <c r="V456" s="1">
        <v>881328</v>
      </c>
    </row>
    <row r="457" spans="4:22" x14ac:dyDescent="0.3">
      <c r="D457" s="2">
        <v>454</v>
      </c>
      <c r="E457" s="2">
        <f>SEARCH("mul",$C$4,E456+1)</f>
        <v>11163</v>
      </c>
      <c r="F457" s="2" t="str">
        <f>MID($C$4,E457,$F$1)</f>
        <v>mul(69,32)!how(</v>
      </c>
      <c r="G457" s="3">
        <f>SEARCH("(",F457)</f>
        <v>4</v>
      </c>
      <c r="H457" s="3">
        <f>SEARCH(",",F457)</f>
        <v>7</v>
      </c>
      <c r="I457" s="3">
        <f>SEARCH(")",F457)</f>
        <v>10</v>
      </c>
      <c r="J457" s="2" t="str">
        <f>IF(OR(ISERROR(G457),ISERROR(H457),ISERROR(I457)),"CORRUPT!","")</f>
        <v/>
      </c>
      <c r="K457" s="2" t="str">
        <f>IF(J457&lt;&gt;"","",MID(F457, G457+1, H457-G457-1))</f>
        <v>69</v>
      </c>
      <c r="L457" s="2">
        <f>IF(J457&lt;&gt;"","",LEN(K457))</f>
        <v>2</v>
      </c>
      <c r="M457" s="2" t="str">
        <f>IF(J457&lt;&gt;"","",MID(F457, H457+1, I457-H457-1))</f>
        <v>32</v>
      </c>
      <c r="N457" s="2">
        <f>IF(J457&lt;&gt;"","",LEN(M457))</f>
        <v>2</v>
      </c>
      <c r="O457" s="2">
        <f>IF(J457&lt;&gt;"","",K457*M457)</f>
        <v>2208</v>
      </c>
      <c r="R457" s="1" t="str">
        <v>297,888)how()%'?:-{&amp;</v>
      </c>
      <c r="S457" s="1" t="str">
        <v>734,303</v>
      </c>
      <c r="T457" s="1" t="str">
        <v>734</v>
      </c>
      <c r="U457" s="1" t="str">
        <v>303</v>
      </c>
      <c r="V457" s="1">
        <v>222402</v>
      </c>
    </row>
    <row r="458" spans="4:22" x14ac:dyDescent="0.3">
      <c r="D458" s="2">
        <v>455</v>
      </c>
      <c r="E458" s="2">
        <f>SEARCH("mul",$C$4,E457+1)</f>
        <v>11188</v>
      </c>
      <c r="F458" s="2" t="str">
        <f>MID($C$4,E458,$F$1)</f>
        <v>mul(496,817)whe</v>
      </c>
      <c r="G458" s="3">
        <f>SEARCH("(",F458)</f>
        <v>4</v>
      </c>
      <c r="H458" s="3">
        <f>SEARCH(",",F458)</f>
        <v>8</v>
      </c>
      <c r="I458" s="3">
        <f>SEARCH(")",F458)</f>
        <v>12</v>
      </c>
      <c r="J458" s="2" t="str">
        <f>IF(OR(ISERROR(G458),ISERROR(H458),ISERROR(I458)),"CORRUPT!","")</f>
        <v/>
      </c>
      <c r="K458" s="2" t="str">
        <f>IF(J458&lt;&gt;"","",MID(F458, G458+1, H458-G458-1))</f>
        <v>496</v>
      </c>
      <c r="L458" s="2">
        <f>IF(J458&lt;&gt;"","",LEN(K458))</f>
        <v>3</v>
      </c>
      <c r="M458" s="2" t="str">
        <f>IF(J458&lt;&gt;"","",MID(F458, H458+1, I458-H458-1))</f>
        <v>817</v>
      </c>
      <c r="N458" s="2">
        <f>IF(J458&lt;&gt;"","",LEN(M458))</f>
        <v>3</v>
      </c>
      <c r="O458" s="2">
        <f>IF(J458&lt;&gt;"","",K458*M458)</f>
        <v>405232</v>
      </c>
      <c r="R458" s="1" t="str">
        <v>291,979)}&gt;# how(261,707)$],</v>
      </c>
      <c r="S458" s="1" t="str">
        <v>339,902</v>
      </c>
      <c r="T458" s="1" t="str">
        <v>339</v>
      </c>
      <c r="U458" s="1" t="str">
        <v>902</v>
      </c>
      <c r="V458" s="1">
        <v>305778</v>
      </c>
    </row>
    <row r="459" spans="4:22" x14ac:dyDescent="0.3">
      <c r="D459" s="2">
        <v>456</v>
      </c>
      <c r="E459" s="2">
        <f>SEARCH("mul",$C$4,E458+1)</f>
        <v>11226</v>
      </c>
      <c r="F459" s="2" t="str">
        <f>MID($C$4,E459,$F$1)</f>
        <v>mul{]&amp;when()-:}</v>
      </c>
      <c r="G459" s="3">
        <f>SEARCH("(",F459)</f>
        <v>11</v>
      </c>
      <c r="H459" s="3" t="e">
        <f>SEARCH(",",F459)</f>
        <v>#VALUE!</v>
      </c>
      <c r="I459" s="3">
        <f>SEARCH(")",F459)</f>
        <v>12</v>
      </c>
      <c r="J459" s="2" t="str">
        <f>IF(OR(ISERROR(G459),ISERROR(H459),ISERROR(I459)),"CORRUPT!","")</f>
        <v>CORRUPT!</v>
      </c>
      <c r="K459" s="2" t="str">
        <f>IF(J459&lt;&gt;"","",MID(F459, G459+1, H459-G459-1))</f>
        <v/>
      </c>
      <c r="L459" s="2" t="str">
        <f>IF(J459&lt;&gt;"","",LEN(K459))</f>
        <v/>
      </c>
      <c r="M459" s="2" t="str">
        <f>IF(J459&lt;&gt;"","",MID(F459, H459+1, I459-H459-1))</f>
        <v/>
      </c>
      <c r="N459" s="2" t="str">
        <f>IF(J459&lt;&gt;"","",LEN(M459))</f>
        <v/>
      </c>
      <c r="O459" s="2" t="str">
        <f>IF(J459&lt;&gt;"","",K459*M459)</f>
        <v/>
      </c>
      <c r="R459" s="1" t="str">
        <v xml:space="preserve">983,656)*&gt; </v>
      </c>
      <c r="S459" s="1" t="str">
        <v>2,449</v>
      </c>
      <c r="T459" s="1" t="str">
        <v>2</v>
      </c>
      <c r="U459" s="1" t="str">
        <v>449</v>
      </c>
      <c r="V459" s="1">
        <v>898</v>
      </c>
    </row>
    <row r="460" spans="4:22" x14ac:dyDescent="0.3">
      <c r="D460" s="2">
        <v>457</v>
      </c>
      <c r="E460" s="2">
        <f>SEARCH("mul",$C$4,E459+1)</f>
        <v>11254</v>
      </c>
      <c r="F460" s="2" t="str">
        <f>MID($C$4,E460,$F$1)</f>
        <v>mul(472,276)&lt;'&amp;</v>
      </c>
      <c r="G460" s="3">
        <f>SEARCH("(",F460)</f>
        <v>4</v>
      </c>
      <c r="H460" s="3">
        <f>SEARCH(",",F460)</f>
        <v>8</v>
      </c>
      <c r="I460" s="3">
        <f>SEARCH(")",F460)</f>
        <v>12</v>
      </c>
      <c r="J460" s="2" t="str">
        <f>IF(OR(ISERROR(G460),ISERROR(H460),ISERROR(I460)),"CORRUPT!","")</f>
        <v/>
      </c>
      <c r="K460" s="2" t="str">
        <f>IF(J460&lt;&gt;"","",MID(F460, G460+1, H460-G460-1))</f>
        <v>472</v>
      </c>
      <c r="L460" s="2">
        <f>IF(J460&lt;&gt;"","",LEN(K460))</f>
        <v>3</v>
      </c>
      <c r="M460" s="2" t="str">
        <f>IF(J460&lt;&gt;"","",MID(F460, H460+1, I460-H460-1))</f>
        <v>276</v>
      </c>
      <c r="N460" s="2">
        <f>IF(J460&lt;&gt;"","",LEN(M460))</f>
        <v>3</v>
      </c>
      <c r="O460" s="2">
        <f>IF(J460&lt;&gt;"","",K460*M460)</f>
        <v>130272</v>
      </c>
      <c r="R460" s="1" t="str">
        <v>340,628)]*][[/</v>
      </c>
      <c r="S460" s="1" t="str">
        <v>799,379</v>
      </c>
      <c r="T460" s="1" t="str">
        <v>799</v>
      </c>
      <c r="U460" s="1" t="str">
        <v>379</v>
      </c>
      <c r="V460" s="1">
        <v>302821</v>
      </c>
    </row>
    <row r="461" spans="4:22" x14ac:dyDescent="0.3">
      <c r="D461" s="2">
        <v>458</v>
      </c>
      <c r="E461" s="2">
        <f>SEARCH("mul",$C$4,E460+1)</f>
        <v>11276</v>
      </c>
      <c r="F461" s="2" t="str">
        <f>MID($C$4,E461,$F$1)</f>
        <v>mul(334,580)'/-</v>
      </c>
      <c r="G461" s="3">
        <f>SEARCH("(",F461)</f>
        <v>4</v>
      </c>
      <c r="H461" s="3">
        <f>SEARCH(",",F461)</f>
        <v>8</v>
      </c>
      <c r="I461" s="3">
        <f>SEARCH(")",F461)</f>
        <v>12</v>
      </c>
      <c r="J461" s="2" t="str">
        <f>IF(OR(ISERROR(G461),ISERROR(H461),ISERROR(I461)),"CORRUPT!","")</f>
        <v/>
      </c>
      <c r="K461" s="2" t="str">
        <f>IF(J461&lt;&gt;"","",MID(F461, G461+1, H461-G461-1))</f>
        <v>334</v>
      </c>
      <c r="L461" s="2">
        <f>IF(J461&lt;&gt;"","",LEN(K461))</f>
        <v>3</v>
      </c>
      <c r="M461" s="2" t="str">
        <f>IF(J461&lt;&gt;"","",MID(F461, H461+1, I461-H461-1))</f>
        <v>580</v>
      </c>
      <c r="N461" s="2">
        <f>IF(J461&lt;&gt;"","",LEN(M461))</f>
        <v>3</v>
      </c>
      <c r="O461" s="2">
        <f>IF(J461&lt;&gt;"","",K461*M461)</f>
        <v>193720</v>
      </c>
      <c r="R461" s="1" t="str">
        <v>193,206)(})~mul*/-#</v>
      </c>
      <c r="S461" s="1" t="str">
        <v>704,107</v>
      </c>
      <c r="T461" s="1" t="str">
        <v>704</v>
      </c>
      <c r="U461" s="1" t="str">
        <v>107</v>
      </c>
      <c r="V461" s="1">
        <v>75328</v>
      </c>
    </row>
    <row r="462" spans="4:22" x14ac:dyDescent="0.3">
      <c r="D462" s="2">
        <v>459</v>
      </c>
      <c r="E462" s="2">
        <f>SEARCH("mul",$C$4,E461+1)</f>
        <v>11296</v>
      </c>
      <c r="F462" s="2" t="str">
        <f>MID($C$4,E462,$F$1)</f>
        <v>mul(78,731)sele</v>
      </c>
      <c r="G462" s="3">
        <f>SEARCH("(",F462)</f>
        <v>4</v>
      </c>
      <c r="H462" s="3">
        <f>SEARCH(",",F462)</f>
        <v>7</v>
      </c>
      <c r="I462" s="3">
        <f>SEARCH(")",F462)</f>
        <v>11</v>
      </c>
      <c r="J462" s="2" t="str">
        <f>IF(OR(ISERROR(G462),ISERROR(H462),ISERROR(I462)),"CORRUPT!","")</f>
        <v/>
      </c>
      <c r="K462" s="2" t="str">
        <f>IF(J462&lt;&gt;"","",MID(F462, G462+1, H462-G462-1))</f>
        <v>78</v>
      </c>
      <c r="L462" s="2">
        <f>IF(J462&lt;&gt;"","",LEN(K462))</f>
        <v>2</v>
      </c>
      <c r="M462" s="2" t="str">
        <f>IF(J462&lt;&gt;"","",MID(F462, H462+1, I462-H462-1))</f>
        <v>731</v>
      </c>
      <c r="N462" s="2">
        <f>IF(J462&lt;&gt;"","",LEN(M462))</f>
        <v>3</v>
      </c>
      <c r="O462" s="2">
        <f>IF(J462&lt;&gt;"","",K462*M462)</f>
        <v>57018</v>
      </c>
      <c r="R462" s="1" t="str">
        <v>976,903)%#why()$}-&amp;</v>
      </c>
      <c r="S462" s="1" t="str">
        <v>205,807</v>
      </c>
      <c r="T462" s="1" t="str">
        <v>205</v>
      </c>
      <c r="U462" s="1" t="str">
        <v>807</v>
      </c>
      <c r="V462" s="1">
        <v>165435</v>
      </c>
    </row>
    <row r="463" spans="4:22" x14ac:dyDescent="0.3">
      <c r="D463" s="2">
        <v>460</v>
      </c>
      <c r="E463" s="2">
        <f>SEARCH("mul",$C$4,E462+1)</f>
        <v>11315</v>
      </c>
      <c r="F463" s="2" t="str">
        <f>MID($C$4,E463,$F$1)</f>
        <v>mul(584,89)*/&gt;d</v>
      </c>
      <c r="G463" s="3">
        <f>SEARCH("(",F463)</f>
        <v>4</v>
      </c>
      <c r="H463" s="3">
        <f>SEARCH(",",F463)</f>
        <v>8</v>
      </c>
      <c r="I463" s="3">
        <f>SEARCH(")",F463)</f>
        <v>11</v>
      </c>
      <c r="J463" s="2" t="str">
        <f>IF(OR(ISERROR(G463),ISERROR(H463),ISERROR(I463)),"CORRUPT!","")</f>
        <v/>
      </c>
      <c r="K463" s="2" t="str">
        <f>IF(J463&lt;&gt;"","",MID(F463, G463+1, H463-G463-1))</f>
        <v>584</v>
      </c>
      <c r="L463" s="2">
        <f>IF(J463&lt;&gt;"","",LEN(K463))</f>
        <v>3</v>
      </c>
      <c r="M463" s="2" t="str">
        <f>IF(J463&lt;&gt;"","",MID(F463, H463+1, I463-H463-1))</f>
        <v>89</v>
      </c>
      <c r="N463" s="2">
        <f>IF(J463&lt;&gt;"","",LEN(M463))</f>
        <v>2</v>
      </c>
      <c r="O463" s="2">
        <f>IF(J463&lt;&gt;"","",K463*M463)</f>
        <v>51976</v>
      </c>
      <c r="R463" s="1" t="str">
        <v>734,303)what()[from()*-/why()do()&amp;why()!*]@from()&amp;when()</v>
      </c>
      <c r="S463" s="1" t="str">
        <v>787,710</v>
      </c>
      <c r="T463" s="1" t="str">
        <v>787</v>
      </c>
      <c r="U463" s="1" t="str">
        <v>710</v>
      </c>
      <c r="V463" s="1">
        <v>558770</v>
      </c>
    </row>
    <row r="464" spans="4:22" x14ac:dyDescent="0.3">
      <c r="D464" s="2">
        <v>461</v>
      </c>
      <c r="E464" s="2">
        <f>SEARCH("mul",$C$4,E463+1)</f>
        <v>11348</v>
      </c>
      <c r="F464" s="2" t="str">
        <f>MID($C$4,E464,$F$1)</f>
        <v>mul(106,855)']m</v>
      </c>
      <c r="G464" s="3">
        <f>SEARCH("(",F464)</f>
        <v>4</v>
      </c>
      <c r="H464" s="3">
        <f>SEARCH(",",F464)</f>
        <v>8</v>
      </c>
      <c r="I464" s="3">
        <f>SEARCH(")",F464)</f>
        <v>12</v>
      </c>
      <c r="J464" s="2" t="str">
        <f>IF(OR(ISERROR(G464),ISERROR(H464),ISERROR(I464)),"CORRUPT!","")</f>
        <v/>
      </c>
      <c r="K464" s="2" t="str">
        <f>IF(J464&lt;&gt;"","",MID(F464, G464+1, H464-G464-1))</f>
        <v>106</v>
      </c>
      <c r="L464" s="2">
        <f>IF(J464&lt;&gt;"","",LEN(K464))</f>
        <v>3</v>
      </c>
      <c r="M464" s="2" t="str">
        <f>IF(J464&lt;&gt;"","",MID(F464, H464+1, I464-H464-1))</f>
        <v>855</v>
      </c>
      <c r="N464" s="2">
        <f>IF(J464&lt;&gt;"","",LEN(M464))</f>
        <v>3</v>
      </c>
      <c r="O464" s="2">
        <f>IF(J464&lt;&gt;"","",K464*M464)</f>
        <v>90630</v>
      </c>
      <c r="R464" s="1" t="str">
        <v>339,902)from()([,[*^?how()</v>
      </c>
      <c r="S464" s="1" t="str">
        <v>575,659</v>
      </c>
      <c r="T464" s="1" t="str">
        <v>575</v>
      </c>
      <c r="U464" s="1" t="str">
        <v>659</v>
      </c>
      <c r="V464" s="1">
        <v>378925</v>
      </c>
    </row>
    <row r="465" spans="4:22" x14ac:dyDescent="0.3">
      <c r="D465" s="2">
        <v>462</v>
      </c>
      <c r="E465" s="2">
        <f>SEARCH("mul",$C$4,E464+1)</f>
        <v>11362</v>
      </c>
      <c r="F465" s="2" t="str">
        <f>MID($C$4,E465,$F$1)</f>
        <v>mul(996,656){%:</v>
      </c>
      <c r="G465" s="3">
        <f>SEARCH("(",F465)</f>
        <v>4</v>
      </c>
      <c r="H465" s="3">
        <f>SEARCH(",",F465)</f>
        <v>8</v>
      </c>
      <c r="I465" s="3">
        <f>SEARCH(")",F465)</f>
        <v>12</v>
      </c>
      <c r="J465" s="2" t="str">
        <f>IF(OR(ISERROR(G465),ISERROR(H465),ISERROR(I465)),"CORRUPT!","")</f>
        <v/>
      </c>
      <c r="K465" s="2" t="str">
        <f>IF(J465&lt;&gt;"","",MID(F465, G465+1, H465-G465-1))</f>
        <v>996</v>
      </c>
      <c r="L465" s="2">
        <f>IF(J465&lt;&gt;"","",LEN(K465))</f>
        <v>3</v>
      </c>
      <c r="M465" s="2" t="str">
        <f>IF(J465&lt;&gt;"","",MID(F465, H465+1, I465-H465-1))</f>
        <v>656</v>
      </c>
      <c r="N465" s="2">
        <f>IF(J465&lt;&gt;"","",LEN(M465))</f>
        <v>3</v>
      </c>
      <c r="O465" s="2">
        <f>IF(J465&lt;&gt;"","",K465*M465)</f>
        <v>653376</v>
      </c>
      <c r="R465" s="1" t="str">
        <v>2,449)when()how()why()</v>
      </c>
      <c r="S465" s="1" t="str">
        <v>755,669</v>
      </c>
      <c r="T465" s="1" t="str">
        <v>755</v>
      </c>
      <c r="U465" s="1" t="str">
        <v>669</v>
      </c>
      <c r="V465" s="1">
        <v>505095</v>
      </c>
    </row>
    <row r="466" spans="4:22" x14ac:dyDescent="0.3">
      <c r="D466" s="2">
        <v>463</v>
      </c>
      <c r="E466" s="2">
        <f>SEARCH("mul",$C$4,E465+1)</f>
        <v>11377</v>
      </c>
      <c r="F466" s="2" t="str">
        <f>MID($C$4,E466,$F$1)</f>
        <v>mul(873,777);ho</v>
      </c>
      <c r="G466" s="3">
        <f>SEARCH("(",F466)</f>
        <v>4</v>
      </c>
      <c r="H466" s="3">
        <f>SEARCH(",",F466)</f>
        <v>8</v>
      </c>
      <c r="I466" s="3">
        <f>SEARCH(")",F466)</f>
        <v>12</v>
      </c>
      <c r="J466" s="2" t="str">
        <f>IF(OR(ISERROR(G466),ISERROR(H466),ISERROR(I466)),"CORRUPT!","")</f>
        <v/>
      </c>
      <c r="K466" s="2" t="str">
        <f>IF(J466&lt;&gt;"","",MID(F466, G466+1, H466-G466-1))</f>
        <v>873</v>
      </c>
      <c r="L466" s="2">
        <f>IF(J466&lt;&gt;"","",LEN(K466))</f>
        <v>3</v>
      </c>
      <c r="M466" s="2" t="str">
        <f>IF(J466&lt;&gt;"","",MID(F466, H466+1, I466-H466-1))</f>
        <v>777</v>
      </c>
      <c r="N466" s="2">
        <f>IF(J466&lt;&gt;"","",LEN(M466))</f>
        <v>3</v>
      </c>
      <c r="O466" s="2">
        <f>IF(J466&lt;&gt;"","",K466*M466)</f>
        <v>678321</v>
      </c>
      <c r="R466" s="1" t="str">
        <v>799,379)-!#-</v>
      </c>
      <c r="S466" s="1" t="str">
        <v>533,448</v>
      </c>
      <c r="T466" s="1" t="str">
        <v>533</v>
      </c>
      <c r="U466" s="1" t="str">
        <v>448</v>
      </c>
      <c r="V466" s="1">
        <v>238784</v>
      </c>
    </row>
    <row r="467" spans="4:22" x14ac:dyDescent="0.3">
      <c r="D467" s="2">
        <v>464</v>
      </c>
      <c r="E467" s="2">
        <f>SEARCH("mul",$C$4,E466+1)</f>
        <v>11398</v>
      </c>
      <c r="F467" s="2" t="str">
        <f>MID($C$4,E467,$F$1)</f>
        <v>mulwhere(939,62</v>
      </c>
      <c r="G467" s="3">
        <f>SEARCH("(",F467)</f>
        <v>9</v>
      </c>
      <c r="H467" s="3">
        <f>SEARCH(",",F467)</f>
        <v>13</v>
      </c>
      <c r="I467" s="3" t="e">
        <f>SEARCH(")",F467)</f>
        <v>#VALUE!</v>
      </c>
      <c r="J467" s="2" t="str">
        <f>IF(OR(ISERROR(G467),ISERROR(H467),ISERROR(I467)),"CORRUPT!","")</f>
        <v>CORRUPT!</v>
      </c>
      <c r="K467" s="2" t="str">
        <f>IF(J467&lt;&gt;"","",MID(F467, G467+1, H467-G467-1))</f>
        <v/>
      </c>
      <c r="L467" s="2" t="str">
        <f>IF(J467&lt;&gt;"","",LEN(K467))</f>
        <v/>
      </c>
      <c r="M467" s="2" t="str">
        <f>IF(J467&lt;&gt;"","",MID(F467, H467+1, I467-H467-1))</f>
        <v/>
      </c>
      <c r="N467" s="2" t="str">
        <f>IF(J467&lt;&gt;"","",LEN(M467))</f>
        <v/>
      </c>
      <c r="O467" s="2" t="str">
        <f>IF(J467&lt;&gt;"","",K467*M467)</f>
        <v/>
      </c>
      <c r="R467" s="1" t="str">
        <v>704,107)</v>
      </c>
      <c r="S467" s="1" t="str">
        <v>663,118</v>
      </c>
      <c r="T467" s="1" t="str">
        <v>663</v>
      </c>
      <c r="U467" s="1" t="str">
        <v>118</v>
      </c>
      <c r="V467" s="1">
        <v>78234</v>
      </c>
    </row>
    <row r="468" spans="4:22" x14ac:dyDescent="0.3">
      <c r="D468" s="2">
        <v>465</v>
      </c>
      <c r="E468" s="2">
        <f>SEARCH("mul",$C$4,E467+1)</f>
        <v>11419</v>
      </c>
      <c r="F468" s="2" t="str">
        <f>MID($C$4,E468,$F$1)</f>
        <v>mul(186,441)whe</v>
      </c>
      <c r="G468" s="3">
        <f>SEARCH("(",F468)</f>
        <v>4</v>
      </c>
      <c r="H468" s="3">
        <f>SEARCH(",",F468)</f>
        <v>8</v>
      </c>
      <c r="I468" s="3">
        <f>SEARCH(")",F468)</f>
        <v>12</v>
      </c>
      <c r="J468" s="2" t="str">
        <f>IF(OR(ISERROR(G468),ISERROR(H468),ISERROR(I468)),"CORRUPT!","")</f>
        <v/>
      </c>
      <c r="K468" s="2" t="str">
        <f>IF(J468&lt;&gt;"","",MID(F468, G468+1, H468-G468-1))</f>
        <v>186</v>
      </c>
      <c r="L468" s="2">
        <f>IF(J468&lt;&gt;"","",LEN(K468))</f>
        <v>3</v>
      </c>
      <c r="M468" s="2" t="str">
        <f>IF(J468&lt;&gt;"","",MID(F468, H468+1, I468-H468-1))</f>
        <v>441</v>
      </c>
      <c r="N468" s="2">
        <f>IF(J468&lt;&gt;"","",LEN(M468))</f>
        <v>3</v>
      </c>
      <c r="O468" s="2">
        <f>IF(J468&lt;&gt;"","",K468*M468)</f>
        <v>82026</v>
      </c>
      <c r="R468" s="1" t="str">
        <v>205,807) :</v>
      </c>
      <c r="S468" s="1" t="str">
        <v>521,701/how(</v>
      </c>
      <c r="T468" s="1" t="str">
        <v>521</v>
      </c>
      <c r="U468" s="1" t="str">
        <v>701/how(</v>
      </c>
      <c r="V468" s="1">
        <v>0</v>
      </c>
    </row>
    <row r="469" spans="4:22" x14ac:dyDescent="0.3">
      <c r="D469" s="2">
        <v>466</v>
      </c>
      <c r="E469" s="2">
        <f>SEARCH("mul",$C$4,E468+1)</f>
        <v>11446</v>
      </c>
      <c r="F469" s="2" t="str">
        <f>MID($C$4,E469,$F$1)</f>
        <v>mul(297,888)how</v>
      </c>
      <c r="G469" s="3">
        <f>SEARCH("(",F469)</f>
        <v>4</v>
      </c>
      <c r="H469" s="3">
        <f>SEARCH(",",F469)</f>
        <v>8</v>
      </c>
      <c r="I469" s="3">
        <f>SEARCH(")",F469)</f>
        <v>12</v>
      </c>
      <c r="J469" s="2" t="str">
        <f>IF(OR(ISERROR(G469),ISERROR(H469),ISERROR(I469)),"CORRUPT!","")</f>
        <v/>
      </c>
      <c r="K469" s="2" t="str">
        <f>IF(J469&lt;&gt;"","",MID(F469, G469+1, H469-G469-1))</f>
        <v>297</v>
      </c>
      <c r="L469" s="2">
        <f>IF(J469&lt;&gt;"","",LEN(K469))</f>
        <v>3</v>
      </c>
      <c r="M469" s="2" t="str">
        <f>IF(J469&lt;&gt;"","",MID(F469, H469+1, I469-H469-1))</f>
        <v>888</v>
      </c>
      <c r="N469" s="2">
        <f>IF(J469&lt;&gt;"","",LEN(M469))</f>
        <v>3</v>
      </c>
      <c r="O469" s="2">
        <f>IF(J469&lt;&gt;"","",K469*M469)</f>
        <v>263736</v>
      </c>
      <c r="R469" s="1" t="str">
        <v>787,710)</v>
      </c>
      <c r="S469" s="1" t="str">
        <v>357,734</v>
      </c>
      <c r="T469" s="1" t="str">
        <v>357</v>
      </c>
      <c r="U469" s="1" t="str">
        <v>734</v>
      </c>
      <c r="V469" s="1">
        <v>262038</v>
      </c>
    </row>
    <row r="470" spans="4:22" x14ac:dyDescent="0.3">
      <c r="D470" s="2">
        <v>467</v>
      </c>
      <c r="E470" s="2">
        <f>SEARCH("mul",$C$4,E469+1)</f>
        <v>11470</v>
      </c>
      <c r="F470" s="2" t="str">
        <f>MID($C$4,E470,$F$1)</f>
        <v>mul(291,979)}&gt;#</v>
      </c>
      <c r="G470" s="3">
        <f>SEARCH("(",F470)</f>
        <v>4</v>
      </c>
      <c r="H470" s="3">
        <f>SEARCH(",",F470)</f>
        <v>8</v>
      </c>
      <c r="I470" s="3">
        <f>SEARCH(")",F470)</f>
        <v>12</v>
      </c>
      <c r="J470" s="2" t="str">
        <f>IF(OR(ISERROR(G470),ISERROR(H470),ISERROR(I470)),"CORRUPT!","")</f>
        <v/>
      </c>
      <c r="K470" s="2" t="str">
        <f>IF(J470&lt;&gt;"","",MID(F470, G470+1, H470-G470-1))</f>
        <v>291</v>
      </c>
      <c r="L470" s="2">
        <f>IF(J470&lt;&gt;"","",LEN(K470))</f>
        <v>3</v>
      </c>
      <c r="M470" s="2" t="str">
        <f>IF(J470&lt;&gt;"","",MID(F470, H470+1, I470-H470-1))</f>
        <v>979</v>
      </c>
      <c r="N470" s="2">
        <f>IF(J470&lt;&gt;"","",LEN(M470))</f>
        <v>3</v>
      </c>
      <c r="O470" s="2">
        <f>IF(J470&lt;&gt;"","",K470*M470)</f>
        <v>284889</v>
      </c>
      <c r="R470" s="1" t="str">
        <v>575,659)when(),];~'!</v>
      </c>
      <c r="S470" s="1" t="str">
        <v>900,877</v>
      </c>
      <c r="T470" s="1" t="str">
        <v>900</v>
      </c>
      <c r="U470" s="1" t="str">
        <v>877</v>
      </c>
      <c r="V470" s="1">
        <v>789300</v>
      </c>
    </row>
    <row r="471" spans="4:22" x14ac:dyDescent="0.3">
      <c r="D471" s="2">
        <v>468</v>
      </c>
      <c r="E471" s="2">
        <f>SEARCH("mul",$C$4,E470+1)</f>
        <v>11501</v>
      </c>
      <c r="F471" s="2" t="str">
        <f>MID($C$4,E471,$F$1)</f>
        <v xml:space="preserve">mul(983,656)*&gt; </v>
      </c>
      <c r="G471" s="3">
        <f>SEARCH("(",F471)</f>
        <v>4</v>
      </c>
      <c r="H471" s="3">
        <f>SEARCH(",",F471)</f>
        <v>8</v>
      </c>
      <c r="I471" s="3">
        <f>SEARCH(")",F471)</f>
        <v>12</v>
      </c>
      <c r="J471" s="2" t="str">
        <f>IF(OR(ISERROR(G471),ISERROR(H471),ISERROR(I471)),"CORRUPT!","")</f>
        <v/>
      </c>
      <c r="K471" s="2" t="str">
        <f>IF(J471&lt;&gt;"","",MID(F471, G471+1, H471-G471-1))</f>
        <v>983</v>
      </c>
      <c r="L471" s="2">
        <f>IF(J471&lt;&gt;"","",LEN(K471))</f>
        <v>3</v>
      </c>
      <c r="M471" s="2" t="str">
        <f>IF(J471&lt;&gt;"","",MID(F471, H471+1, I471-H471-1))</f>
        <v>656</v>
      </c>
      <c r="N471" s="2">
        <f>IF(J471&lt;&gt;"","",LEN(M471))</f>
        <v>3</v>
      </c>
      <c r="O471" s="2">
        <f>IF(J471&lt;&gt;"","",K471*M471)</f>
        <v>644848</v>
      </c>
      <c r="R471" s="1" t="str">
        <v>755,669){+&amp;%$-&lt;</v>
      </c>
      <c r="S471" s="1" t="str">
        <v>276,197</v>
      </c>
      <c r="T471" s="1" t="str">
        <v>276</v>
      </c>
      <c r="U471" s="1" t="str">
        <v>197</v>
      </c>
      <c r="V471" s="1">
        <v>54372</v>
      </c>
    </row>
    <row r="472" spans="4:22" x14ac:dyDescent="0.3">
      <c r="D472" s="2">
        <v>469</v>
      </c>
      <c r="E472" s="2">
        <f>SEARCH("mul",$C$4,E471+1)</f>
        <v>11516</v>
      </c>
      <c r="F472" s="2" t="str">
        <f>MID($C$4,E472,$F$1)</f>
        <v>mul(340,628)]*]</v>
      </c>
      <c r="G472" s="3">
        <f>SEARCH("(",F472)</f>
        <v>4</v>
      </c>
      <c r="H472" s="3">
        <f>SEARCH(",",F472)</f>
        <v>8</v>
      </c>
      <c r="I472" s="3">
        <f>SEARCH(")",F472)</f>
        <v>12</v>
      </c>
      <c r="J472" s="2" t="str">
        <f>IF(OR(ISERROR(G472),ISERROR(H472),ISERROR(I472)),"CORRUPT!","")</f>
        <v/>
      </c>
      <c r="K472" s="2" t="str">
        <f>IF(J472&lt;&gt;"","",MID(F472, G472+1, H472-G472-1))</f>
        <v>340</v>
      </c>
      <c r="L472" s="2">
        <f>IF(J472&lt;&gt;"","",LEN(K472))</f>
        <v>3</v>
      </c>
      <c r="M472" s="2" t="str">
        <f>IF(J472&lt;&gt;"","",MID(F472, H472+1, I472-H472-1))</f>
        <v>628</v>
      </c>
      <c r="N472" s="2">
        <f>IF(J472&lt;&gt;"","",LEN(M472))</f>
        <v>3</v>
      </c>
      <c r="O472" s="2">
        <f>IF(J472&lt;&gt;"","",K472*M472)</f>
        <v>213520</v>
      </c>
      <c r="R472" s="1" t="str">
        <v>533,448);#from()how()$what()-don't()from()] )</v>
      </c>
      <c r="S472" s="1" t="str">
        <v>635,783</v>
      </c>
      <c r="T472" s="1" t="str">
        <v>635</v>
      </c>
      <c r="U472" s="1" t="str">
        <v>783</v>
      </c>
      <c r="V472" s="1">
        <v>497205</v>
      </c>
    </row>
    <row r="473" spans="4:22" x14ac:dyDescent="0.3">
      <c r="D473" s="2">
        <v>470</v>
      </c>
      <c r="E473" s="2">
        <f>SEARCH("mul",$C$4,E472+1)</f>
        <v>11534</v>
      </c>
      <c r="F473" s="2" t="str">
        <f>MID($C$4,E473,$F$1)</f>
        <v>mul(193,206)(})</v>
      </c>
      <c r="G473" s="3">
        <f>SEARCH("(",F473)</f>
        <v>4</v>
      </c>
      <c r="H473" s="3">
        <f>SEARCH(",",F473)</f>
        <v>8</v>
      </c>
      <c r="I473" s="3">
        <f>SEARCH(")",F473)</f>
        <v>12</v>
      </c>
      <c r="J473" s="2" t="str">
        <f>IF(OR(ISERROR(G473),ISERROR(H473),ISERROR(I473)),"CORRUPT!","")</f>
        <v/>
      </c>
      <c r="K473" s="2" t="str">
        <f>IF(J473&lt;&gt;"","",MID(F473, G473+1, H473-G473-1))</f>
        <v>193</v>
      </c>
      <c r="L473" s="2">
        <f>IF(J473&lt;&gt;"","",LEN(K473))</f>
        <v>3</v>
      </c>
      <c r="M473" s="2" t="str">
        <f>IF(J473&lt;&gt;"","",MID(F473, H473+1, I473-H473-1))</f>
        <v>206</v>
      </c>
      <c r="N473" s="2">
        <f>IF(J473&lt;&gt;"","",LEN(M473))</f>
        <v>3</v>
      </c>
      <c r="O473" s="2">
        <f>IF(J473&lt;&gt;"","",K473*M473)</f>
        <v>39758</v>
      </c>
      <c r="R473" s="1" t="str">
        <v>663,118)$from()$;who()do()#from()*?from()%</v>
      </c>
      <c r="S473" s="1" t="str">
        <v>276,497</v>
      </c>
      <c r="T473" s="1" t="str">
        <v>276</v>
      </c>
      <c r="U473" s="1" t="str">
        <v>497</v>
      </c>
      <c r="V473" s="1">
        <v>137172</v>
      </c>
    </row>
    <row r="474" spans="4:22" x14ac:dyDescent="0.3">
      <c r="D474" s="2">
        <v>471</v>
      </c>
      <c r="E474" s="2">
        <f>SEARCH("mul",$C$4,E473+1)</f>
        <v>11550</v>
      </c>
      <c r="F474" s="2" t="str">
        <f>MID($C$4,E474,$F$1)</f>
        <v>mul*/-#mul(976,</v>
      </c>
      <c r="G474" s="3">
        <f>SEARCH("(",F474)</f>
        <v>11</v>
      </c>
      <c r="H474" s="3">
        <f>SEARCH(",",F474)</f>
        <v>15</v>
      </c>
      <c r="I474" s="3" t="e">
        <f>SEARCH(")",F474)</f>
        <v>#VALUE!</v>
      </c>
      <c r="J474" s="2" t="str">
        <f>IF(OR(ISERROR(G474),ISERROR(H474),ISERROR(I474)),"CORRUPT!","")</f>
        <v>CORRUPT!</v>
      </c>
      <c r="K474" s="2" t="str">
        <f>IF(J474&lt;&gt;"","",MID(F474, G474+1, H474-G474-1))</f>
        <v/>
      </c>
      <c r="L474" s="2" t="str">
        <f>IF(J474&lt;&gt;"","",LEN(K474))</f>
        <v/>
      </c>
      <c r="M474" s="2" t="str">
        <f>IF(J474&lt;&gt;"","",MID(F474, H474+1, I474-H474-1))</f>
        <v/>
      </c>
      <c r="N474" s="2" t="str">
        <f>IF(J474&lt;&gt;"","",LEN(M474))</f>
        <v/>
      </c>
      <c r="O474" s="2" t="str">
        <f>IF(J474&lt;&gt;"","",K474*M474)</f>
        <v/>
      </c>
      <c r="R474" s="1" t="str">
        <v>521,701/how()</v>
      </c>
      <c r="S474" s="1" t="str">
        <v>555,644</v>
      </c>
      <c r="T474" s="1" t="str">
        <v>555</v>
      </c>
      <c r="U474" s="1" t="str">
        <v>644</v>
      </c>
      <c r="V474" s="1">
        <v>357420</v>
      </c>
    </row>
    <row r="475" spans="4:22" x14ac:dyDescent="0.3">
      <c r="D475" s="2">
        <v>472</v>
      </c>
      <c r="E475" s="2">
        <f>SEARCH("mul",$C$4,E474+1)</f>
        <v>11557</v>
      </c>
      <c r="F475" s="2" t="str">
        <f>MID($C$4,E475,$F$1)</f>
        <v>mul(976,903)%#w</v>
      </c>
      <c r="G475" s="3">
        <f>SEARCH("(",F475)</f>
        <v>4</v>
      </c>
      <c r="H475" s="3">
        <f>SEARCH(",",F475)</f>
        <v>8</v>
      </c>
      <c r="I475" s="3">
        <f>SEARCH(")",F475)</f>
        <v>12</v>
      </c>
      <c r="J475" s="2" t="str">
        <f>IF(OR(ISERROR(G475),ISERROR(H475),ISERROR(I475)),"CORRUPT!","")</f>
        <v/>
      </c>
      <c r="K475" s="2" t="str">
        <f>IF(J475&lt;&gt;"","",MID(F475, G475+1, H475-G475-1))</f>
        <v>976</v>
      </c>
      <c r="L475" s="2">
        <f>IF(J475&lt;&gt;"","",LEN(K475))</f>
        <v>3</v>
      </c>
      <c r="M475" s="2" t="str">
        <f>IF(J475&lt;&gt;"","",MID(F475, H475+1, I475-H475-1))</f>
        <v>903</v>
      </c>
      <c r="N475" s="2">
        <f>IF(J475&lt;&gt;"","",LEN(M475))</f>
        <v>3</v>
      </c>
      <c r="O475" s="2">
        <f>IF(J475&lt;&gt;"","",K475*M475)</f>
        <v>881328</v>
      </c>
      <c r="R475" s="1" t="str">
        <v>357,734)who()from()+select()who()(*{%:</v>
      </c>
      <c r="S475" s="1" t="str">
        <v>135,278</v>
      </c>
      <c r="T475" s="1" t="str">
        <v>135</v>
      </c>
      <c r="U475" s="1" t="str">
        <v>278</v>
      </c>
      <c r="V475" s="1">
        <v>37530</v>
      </c>
    </row>
    <row r="476" spans="4:22" x14ac:dyDescent="0.3">
      <c r="D476" s="2">
        <v>473</v>
      </c>
      <c r="E476" s="2">
        <f>SEARCH("mul",$C$4,E475+1)</f>
        <v>11580</v>
      </c>
      <c r="F476" s="2" t="str">
        <f>MID($C$4,E476,$F$1)</f>
        <v>mul(734,303)wha</v>
      </c>
      <c r="G476" s="3">
        <f>SEARCH("(",F476)</f>
        <v>4</v>
      </c>
      <c r="H476" s="3">
        <f>SEARCH(",",F476)</f>
        <v>8</v>
      </c>
      <c r="I476" s="3">
        <f>SEARCH(")",F476)</f>
        <v>12</v>
      </c>
      <c r="J476" s="2" t="str">
        <f>IF(OR(ISERROR(G476),ISERROR(H476),ISERROR(I476)),"CORRUPT!","")</f>
        <v/>
      </c>
      <c r="K476" s="2" t="str">
        <f>IF(J476&lt;&gt;"","",MID(F476, G476+1, H476-G476-1))</f>
        <v>734</v>
      </c>
      <c r="L476" s="2">
        <f>IF(J476&lt;&gt;"","",LEN(K476))</f>
        <v>3</v>
      </c>
      <c r="M476" s="2" t="str">
        <f>IF(J476&lt;&gt;"","",MID(F476, H476+1, I476-H476-1))</f>
        <v>303</v>
      </c>
      <c r="N476" s="2">
        <f>IF(J476&lt;&gt;"","",LEN(M476))</f>
        <v>3</v>
      </c>
      <c r="O476" s="2">
        <f>IF(J476&lt;&gt;"","",K476*M476)</f>
        <v>222402</v>
      </c>
      <c r="R476" s="1" t="str">
        <v>900,877)[{</v>
      </c>
      <c r="S476" s="1" t="str">
        <v>439,633</v>
      </c>
      <c r="T476" s="1" t="str">
        <v>439</v>
      </c>
      <c r="U476" s="1" t="str">
        <v>633</v>
      </c>
      <c r="V476" s="1">
        <v>277887</v>
      </c>
    </row>
    <row r="477" spans="4:22" x14ac:dyDescent="0.3">
      <c r="D477" s="2">
        <v>474</v>
      </c>
      <c r="E477" s="2">
        <f>SEARCH("mul",$C$4,E476+1)</f>
        <v>11640</v>
      </c>
      <c r="F477" s="2" t="str">
        <f>MID($C$4,E477,$F$1)</f>
        <v>mul(339,902)fro</v>
      </c>
      <c r="G477" s="3">
        <f>SEARCH("(",F477)</f>
        <v>4</v>
      </c>
      <c r="H477" s="3">
        <f>SEARCH(",",F477)</f>
        <v>8</v>
      </c>
      <c r="I477" s="3">
        <f>SEARCH(")",F477)</f>
        <v>12</v>
      </c>
      <c r="J477" s="2" t="str">
        <f>IF(OR(ISERROR(G477),ISERROR(H477),ISERROR(I477)),"CORRUPT!","")</f>
        <v/>
      </c>
      <c r="K477" s="2" t="str">
        <f>IF(J477&lt;&gt;"","",MID(F477, G477+1, H477-G477-1))</f>
        <v>339</v>
      </c>
      <c r="L477" s="2">
        <f>IF(J477&lt;&gt;"","",LEN(K477))</f>
        <v>3</v>
      </c>
      <c r="M477" s="2" t="str">
        <f>IF(J477&lt;&gt;"","",MID(F477, H477+1, I477-H477-1))</f>
        <v>902</v>
      </c>
      <c r="N477" s="2">
        <f>IF(J477&lt;&gt;"","",LEN(M477))</f>
        <v>3</v>
      </c>
      <c r="O477" s="2">
        <f>IF(J477&lt;&gt;"","",K477*M477)</f>
        <v>305778</v>
      </c>
      <c r="R477" s="1" t="str">
        <v>276,197)!how()who()}$}?mul}$:why()who()who()</v>
      </c>
      <c r="S477" s="1" t="str">
        <v>708,508</v>
      </c>
      <c r="T477" s="1" t="str">
        <v>708</v>
      </c>
      <c r="U477" s="1" t="str">
        <v>508</v>
      </c>
      <c r="V477" s="1">
        <v>359664</v>
      </c>
    </row>
    <row r="478" spans="4:22" x14ac:dyDescent="0.3">
      <c r="D478" s="2">
        <v>475</v>
      </c>
      <c r="E478" s="2">
        <f>SEARCH("mul",$C$4,E477+1)</f>
        <v>11670</v>
      </c>
      <c r="F478" s="2" t="str">
        <f>MID($C$4,E478,$F$1)</f>
        <v>mul(2,449)when(</v>
      </c>
      <c r="G478" s="3">
        <f>SEARCH("(",F478)</f>
        <v>4</v>
      </c>
      <c r="H478" s="3">
        <f>SEARCH(",",F478)</f>
        <v>6</v>
      </c>
      <c r="I478" s="3">
        <f>SEARCH(")",F478)</f>
        <v>10</v>
      </c>
      <c r="J478" s="2" t="str">
        <f>IF(OR(ISERROR(G478),ISERROR(H478),ISERROR(I478)),"CORRUPT!","")</f>
        <v/>
      </c>
      <c r="K478" s="2" t="str">
        <f>IF(J478&lt;&gt;"","",MID(F478, G478+1, H478-G478-1))</f>
        <v>2</v>
      </c>
      <c r="L478" s="2">
        <f>IF(J478&lt;&gt;"","",LEN(K478))</f>
        <v>1</v>
      </c>
      <c r="M478" s="2" t="str">
        <f>IF(J478&lt;&gt;"","",MID(F478, H478+1, I478-H478-1))</f>
        <v>449</v>
      </c>
      <c r="N478" s="2">
        <f>IF(J478&lt;&gt;"","",LEN(M478))</f>
        <v>3</v>
      </c>
      <c r="O478" s="2">
        <f>IF(J478&lt;&gt;"","",K478*M478)</f>
        <v>898</v>
      </c>
      <c r="R478" s="1" t="str">
        <v>635,783)</v>
      </c>
      <c r="S478" s="1" t="str">
        <v>700--(why(</v>
      </c>
      <c r="T478" s="1" t="e">
        <v>#N/A</v>
      </c>
      <c r="U478" s="1" t="e">
        <v>#N/A</v>
      </c>
      <c r="V478" s="1">
        <v>0</v>
      </c>
    </row>
    <row r="479" spans="4:22" x14ac:dyDescent="0.3">
      <c r="D479" s="2">
        <v>476</v>
      </c>
      <c r="E479" s="2">
        <f>SEARCH("mul",$C$4,E478+1)</f>
        <v>11696</v>
      </c>
      <c r="F479" s="2" t="str">
        <f>MID($C$4,E479,$F$1)</f>
        <v>mul(799,379)-!#</v>
      </c>
      <c r="G479" s="3">
        <f>SEARCH("(",F479)</f>
        <v>4</v>
      </c>
      <c r="H479" s="3">
        <f>SEARCH(",",F479)</f>
        <v>8</v>
      </c>
      <c r="I479" s="3">
        <f>SEARCH(")",F479)</f>
        <v>12</v>
      </c>
      <c r="J479" s="2" t="str">
        <f>IF(OR(ISERROR(G479),ISERROR(H479),ISERROR(I479)),"CORRUPT!","")</f>
        <v/>
      </c>
      <c r="K479" s="2" t="str">
        <f>IF(J479&lt;&gt;"","",MID(F479, G479+1, H479-G479-1))</f>
        <v>799</v>
      </c>
      <c r="L479" s="2">
        <f>IF(J479&lt;&gt;"","",LEN(K479))</f>
        <v>3</v>
      </c>
      <c r="M479" s="2" t="str">
        <f>IF(J479&lt;&gt;"","",MID(F479, H479+1, I479-H479-1))</f>
        <v>379</v>
      </c>
      <c r="N479" s="2">
        <f>IF(J479&lt;&gt;"","",LEN(M479))</f>
        <v>3</v>
      </c>
      <c r="O479" s="2">
        <f>IF(J479&lt;&gt;"","",K479*M479)</f>
        <v>302821</v>
      </c>
      <c r="R479" s="1" t="str">
        <v xml:space="preserve">276,497)[select()how()select()&gt;,where()}# </v>
      </c>
      <c r="S479" s="1" t="str">
        <v>39what(</v>
      </c>
      <c r="T479" s="1" t="e">
        <v>#N/A</v>
      </c>
      <c r="U479" s="1" t="e">
        <v>#N/A</v>
      </c>
      <c r="V479" s="1">
        <v>0</v>
      </c>
    </row>
    <row r="480" spans="4:22" x14ac:dyDescent="0.3">
      <c r="D480" s="2">
        <v>477</v>
      </c>
      <c r="E480" s="2">
        <f>SEARCH("mul",$C$4,E479+1)</f>
        <v>11712</v>
      </c>
      <c r="F480" s="2" t="str">
        <f>MID($C$4,E480,$F$1)</f>
        <v>mul(704,107)mul</v>
      </c>
      <c r="G480" s="3">
        <f>SEARCH("(",F480)</f>
        <v>4</v>
      </c>
      <c r="H480" s="3">
        <f>SEARCH(",",F480)</f>
        <v>8</v>
      </c>
      <c r="I480" s="3">
        <f>SEARCH(")",F480)</f>
        <v>12</v>
      </c>
      <c r="J480" s="2" t="str">
        <f>IF(OR(ISERROR(G480),ISERROR(H480),ISERROR(I480)),"CORRUPT!","")</f>
        <v/>
      </c>
      <c r="K480" s="2" t="str">
        <f>IF(J480&lt;&gt;"","",MID(F480, G480+1, H480-G480-1))</f>
        <v>704</v>
      </c>
      <c r="L480" s="2">
        <f>IF(J480&lt;&gt;"","",LEN(K480))</f>
        <v>3</v>
      </c>
      <c r="M480" s="2" t="str">
        <f>IF(J480&lt;&gt;"","",MID(F480, H480+1, I480-H480-1))</f>
        <v>107</v>
      </c>
      <c r="N480" s="2">
        <f>IF(J480&lt;&gt;"","",LEN(M480))</f>
        <v>3</v>
      </c>
      <c r="O480" s="2">
        <f>IF(J480&lt;&gt;"","",K480*M480)</f>
        <v>75328</v>
      </c>
      <c r="R480" s="1" t="str">
        <v>555,644);^who()!}</v>
      </c>
      <c r="S480" s="1" t="str">
        <v>847,132</v>
      </c>
      <c r="T480" s="1" t="str">
        <v>847</v>
      </c>
      <c r="U480" s="1" t="str">
        <v>132</v>
      </c>
      <c r="V480" s="1">
        <v>111804</v>
      </c>
    </row>
    <row r="481" spans="4:22" x14ac:dyDescent="0.3">
      <c r="D481" s="2">
        <v>478</v>
      </c>
      <c r="E481" s="2">
        <f>SEARCH("mul",$C$4,E480+1)</f>
        <v>11724</v>
      </c>
      <c r="F481" s="2" t="str">
        <f>MID($C$4,E481,$F$1)</f>
        <v>mul(205,807) :m</v>
      </c>
      <c r="G481" s="3">
        <f>SEARCH("(",F481)</f>
        <v>4</v>
      </c>
      <c r="H481" s="3">
        <f>SEARCH(",",F481)</f>
        <v>8</v>
      </c>
      <c r="I481" s="3">
        <f>SEARCH(")",F481)</f>
        <v>12</v>
      </c>
      <c r="J481" s="2" t="str">
        <f>IF(OR(ISERROR(G481),ISERROR(H481),ISERROR(I481)),"CORRUPT!","")</f>
        <v/>
      </c>
      <c r="K481" s="2" t="str">
        <f>IF(J481&lt;&gt;"","",MID(F481, G481+1, H481-G481-1))</f>
        <v>205</v>
      </c>
      <c r="L481" s="2">
        <f>IF(J481&lt;&gt;"","",LEN(K481))</f>
        <v>3</v>
      </c>
      <c r="M481" s="2" t="str">
        <f>IF(J481&lt;&gt;"","",MID(F481, H481+1, I481-H481-1))</f>
        <v>807</v>
      </c>
      <c r="N481" s="2">
        <f>IF(J481&lt;&gt;"","",LEN(M481))</f>
        <v>3</v>
      </c>
      <c r="O481" s="2">
        <f>IF(J481&lt;&gt;"","",K481*M481)</f>
        <v>165435</v>
      </c>
      <c r="R481" s="1" t="str">
        <v>341:@#{</v>
      </c>
      <c r="S481" s="1" t="str">
        <v>470,625</v>
      </c>
      <c r="T481" s="1" t="str">
        <v>470</v>
      </c>
      <c r="U481" s="1" t="str">
        <v>625</v>
      </c>
      <c r="V481" s="1">
        <v>293750</v>
      </c>
    </row>
    <row r="482" spans="4:22" x14ac:dyDescent="0.3">
      <c r="D482" s="2">
        <v>479</v>
      </c>
      <c r="E482" s="2">
        <f>SEARCH("mul",$C$4,E481+1)</f>
        <v>11738</v>
      </c>
      <c r="F482" s="2" t="str">
        <f>MID($C$4,E482,$F$1)</f>
        <v>mul(787,710)mul</v>
      </c>
      <c r="G482" s="3">
        <f>SEARCH("(",F482)</f>
        <v>4</v>
      </c>
      <c r="H482" s="3">
        <f>SEARCH(",",F482)</f>
        <v>8</v>
      </c>
      <c r="I482" s="3">
        <f>SEARCH(")",F482)</f>
        <v>12</v>
      </c>
      <c r="J482" s="2" t="str">
        <f>IF(OR(ISERROR(G482),ISERROR(H482),ISERROR(I482)),"CORRUPT!","")</f>
        <v/>
      </c>
      <c r="K482" s="2" t="str">
        <f>IF(J482&lt;&gt;"","",MID(F482, G482+1, H482-G482-1))</f>
        <v>787</v>
      </c>
      <c r="L482" s="2">
        <f>IF(J482&lt;&gt;"","",LEN(K482))</f>
        <v>3</v>
      </c>
      <c r="M482" s="2" t="str">
        <f>IF(J482&lt;&gt;"","",MID(F482, H482+1, I482-H482-1))</f>
        <v>710</v>
      </c>
      <c r="N482" s="2">
        <f>IF(J482&lt;&gt;"","",LEN(M482))</f>
        <v>3</v>
      </c>
      <c r="O482" s="2">
        <f>IF(J482&lt;&gt;"","",K482*M482)</f>
        <v>558770</v>
      </c>
      <c r="R482" s="1" t="str">
        <v>135,278)where()how()what();where()</v>
      </c>
      <c r="S482" s="1" t="str">
        <v>275,789</v>
      </c>
      <c r="T482" s="1" t="str">
        <v>275</v>
      </c>
      <c r="U482" s="1" t="str">
        <v>789</v>
      </c>
      <c r="V482" s="1">
        <v>216975</v>
      </c>
    </row>
    <row r="483" spans="4:22" x14ac:dyDescent="0.3">
      <c r="D483" s="2">
        <v>480</v>
      </c>
      <c r="E483" s="2">
        <f>SEARCH("mul",$C$4,E482+1)</f>
        <v>11750</v>
      </c>
      <c r="F483" s="2" t="str">
        <f>MID($C$4,E483,$F$1)</f>
        <v>mul(575,659)whe</v>
      </c>
      <c r="G483" s="3">
        <f>SEARCH("(",F483)</f>
        <v>4</v>
      </c>
      <c r="H483" s="3">
        <f>SEARCH(",",F483)</f>
        <v>8</v>
      </c>
      <c r="I483" s="3">
        <f>SEARCH(")",F483)</f>
        <v>12</v>
      </c>
      <c r="J483" s="2" t="str">
        <f>IF(OR(ISERROR(G483),ISERROR(H483),ISERROR(I483)),"CORRUPT!","")</f>
        <v/>
      </c>
      <c r="K483" s="2" t="str">
        <f>IF(J483&lt;&gt;"","",MID(F483, G483+1, H483-G483-1))</f>
        <v>575</v>
      </c>
      <c r="L483" s="2">
        <f>IF(J483&lt;&gt;"","",LEN(K483))</f>
        <v>3</v>
      </c>
      <c r="M483" s="2" t="str">
        <f>IF(J483&lt;&gt;"","",MID(F483, H483+1, I483-H483-1))</f>
        <v>659</v>
      </c>
      <c r="N483" s="2">
        <f>IF(J483&lt;&gt;"","",LEN(M483))</f>
        <v>3</v>
      </c>
      <c r="O483" s="2">
        <f>IF(J483&lt;&gt;"","",K483*M483)</f>
        <v>378925</v>
      </c>
      <c r="R483" s="1" t="str">
        <v>439,633),]$how()why()</v>
      </c>
      <c r="S483" s="1" t="str">
        <v>15,846</v>
      </c>
      <c r="T483" s="1" t="str">
        <v>15</v>
      </c>
      <c r="U483" s="1" t="str">
        <v>846</v>
      </c>
      <c r="V483" s="1">
        <v>12690</v>
      </c>
    </row>
    <row r="484" spans="4:22" x14ac:dyDescent="0.3">
      <c r="D484" s="2">
        <v>481</v>
      </c>
      <c r="E484" s="2">
        <f>SEARCH("mul",$C$4,E483+1)</f>
        <v>11774</v>
      </c>
      <c r="F484" s="2" t="str">
        <f>MID($C$4,E484,$F$1)</f>
        <v>mul(755,669){+&amp;</v>
      </c>
      <c r="G484" s="3">
        <f>SEARCH("(",F484)</f>
        <v>4</v>
      </c>
      <c r="H484" s="3">
        <f>SEARCH(",",F484)</f>
        <v>8</v>
      </c>
      <c r="I484" s="3">
        <f>SEARCH(")",F484)</f>
        <v>12</v>
      </c>
      <c r="J484" s="2" t="str">
        <f>IF(OR(ISERROR(G484),ISERROR(H484),ISERROR(I484)),"CORRUPT!","")</f>
        <v/>
      </c>
      <c r="K484" s="2" t="str">
        <f>IF(J484&lt;&gt;"","",MID(F484, G484+1, H484-G484-1))</f>
        <v>755</v>
      </c>
      <c r="L484" s="2">
        <f>IF(J484&lt;&gt;"","",LEN(K484))</f>
        <v>3</v>
      </c>
      <c r="M484" s="2" t="str">
        <f>IF(J484&lt;&gt;"","",MID(F484, H484+1, I484-H484-1))</f>
        <v>669</v>
      </c>
      <c r="N484" s="2">
        <f>IF(J484&lt;&gt;"","",LEN(M484))</f>
        <v>3</v>
      </c>
      <c r="O484" s="2">
        <f>IF(J484&lt;&gt;"","",K484*M484)</f>
        <v>505095</v>
      </c>
      <c r="R484" s="1" t="str">
        <v>708,508)where()%{why(744,659)</v>
      </c>
      <c r="S484" s="1" t="str">
        <v>21,575</v>
      </c>
      <c r="T484" s="1" t="str">
        <v>21</v>
      </c>
      <c r="U484" s="1" t="str">
        <v>575</v>
      </c>
      <c r="V484" s="1">
        <v>12075</v>
      </c>
    </row>
    <row r="485" spans="4:22" x14ac:dyDescent="0.3">
      <c r="D485" s="2">
        <v>482</v>
      </c>
      <c r="E485" s="2">
        <f>SEARCH("mul",$C$4,E484+1)</f>
        <v>11793</v>
      </c>
      <c r="F485" s="2" t="str">
        <f>MID($C$4,E485,$F$1)</f>
        <v>mul(533,448);#f</v>
      </c>
      <c r="G485" s="3">
        <f>SEARCH("(",F485)</f>
        <v>4</v>
      </c>
      <c r="H485" s="3">
        <f>SEARCH(",",F485)</f>
        <v>8</v>
      </c>
      <c r="I485" s="3">
        <f>SEARCH(")",F485)</f>
        <v>12</v>
      </c>
      <c r="J485" s="2" t="str">
        <f>IF(OR(ISERROR(G485),ISERROR(H485),ISERROR(I485)),"CORRUPT!","")</f>
        <v/>
      </c>
      <c r="K485" s="2" t="str">
        <f>IF(J485&lt;&gt;"","",MID(F485, G485+1, H485-G485-1))</f>
        <v>533</v>
      </c>
      <c r="L485" s="2">
        <f>IF(J485&lt;&gt;"","",LEN(K485))</f>
        <v>3</v>
      </c>
      <c r="M485" s="2" t="str">
        <f>IF(J485&lt;&gt;"","",MID(F485, H485+1, I485-H485-1))</f>
        <v>448</v>
      </c>
      <c r="N485" s="2">
        <f>IF(J485&lt;&gt;"","",LEN(M485))</f>
        <v>3</v>
      </c>
      <c r="O485" s="2">
        <f>IF(J485&lt;&gt;"","",K485*M485)</f>
        <v>238784</v>
      </c>
      <c r="R485" s="1" t="str">
        <v>700--(why()*%/where()#&lt;@don't()$?</v>
      </c>
      <c r="S485" s="1" t="str">
        <v>437,525</v>
      </c>
      <c r="T485" s="1" t="str">
        <v>437</v>
      </c>
      <c r="U485" s="1" t="str">
        <v>525</v>
      </c>
      <c r="V485" s="1">
        <v>229425</v>
      </c>
    </row>
    <row r="486" spans="4:22" x14ac:dyDescent="0.3">
      <c r="D486" s="2">
        <v>483</v>
      </c>
      <c r="E486" s="2">
        <f>SEARCH("mul",$C$4,E485+1)</f>
        <v>11842</v>
      </c>
      <c r="F486" s="2" t="str">
        <f>MID($C$4,E486,$F$1)</f>
        <v>mul(663,118)$fr</v>
      </c>
      <c r="G486" s="3">
        <f>SEARCH("(",F486)</f>
        <v>4</v>
      </c>
      <c r="H486" s="3">
        <f>SEARCH(",",F486)</f>
        <v>8</v>
      </c>
      <c r="I486" s="3">
        <f>SEARCH(")",F486)</f>
        <v>12</v>
      </c>
      <c r="J486" s="2" t="str">
        <f>IF(OR(ISERROR(G486),ISERROR(H486),ISERROR(I486)),"CORRUPT!","")</f>
        <v/>
      </c>
      <c r="K486" s="2" t="str">
        <f>IF(J486&lt;&gt;"","",MID(F486, G486+1, H486-G486-1))</f>
        <v>663</v>
      </c>
      <c r="L486" s="2">
        <f>IF(J486&lt;&gt;"","",LEN(K486))</f>
        <v>3</v>
      </c>
      <c r="M486" s="2" t="str">
        <f>IF(J486&lt;&gt;"","",MID(F486, H486+1, I486-H486-1))</f>
        <v>118</v>
      </c>
      <c r="N486" s="2">
        <f>IF(J486&lt;&gt;"","",LEN(M486))</f>
        <v>3</v>
      </c>
      <c r="O486" s="2">
        <f>IF(J486&lt;&gt;"","",K486*M486)</f>
        <v>78234</v>
      </c>
      <c r="R486" s="1" t="str">
        <v>39what(),#})$ select()how()~</v>
      </c>
      <c r="S486" s="1" t="str">
        <v>554,360</v>
      </c>
      <c r="T486" s="1" t="str">
        <v>554</v>
      </c>
      <c r="U486" s="1" t="str">
        <v>360</v>
      </c>
      <c r="V486" s="1">
        <v>199440</v>
      </c>
    </row>
    <row r="487" spans="4:22" x14ac:dyDescent="0.3">
      <c r="D487" s="2">
        <v>484</v>
      </c>
      <c r="E487" s="2">
        <f>SEARCH("mul",$C$4,E486+1)</f>
        <v>11888</v>
      </c>
      <c r="F487" s="2" t="str">
        <f>MID($C$4,E487,$F$1)</f>
        <v>mul(521,701/how</v>
      </c>
      <c r="G487" s="3">
        <f>SEARCH("(",F487)</f>
        <v>4</v>
      </c>
      <c r="H487" s="3">
        <f>SEARCH(",",F487)</f>
        <v>8</v>
      </c>
      <c r="I487" s="3" t="e">
        <f>SEARCH(")",F487)</f>
        <v>#VALUE!</v>
      </c>
      <c r="J487" s="2" t="str">
        <f>IF(OR(ISERROR(G487),ISERROR(H487),ISERROR(I487)),"CORRUPT!","")</f>
        <v>CORRUPT!</v>
      </c>
      <c r="K487" s="2" t="str">
        <f>IF(J487&lt;&gt;"","",MID(F487, G487+1, H487-G487-1))</f>
        <v/>
      </c>
      <c r="L487" s="2" t="str">
        <f>IF(J487&lt;&gt;"","",LEN(K487))</f>
        <v/>
      </c>
      <c r="M487" s="2" t="str">
        <f>IF(J487&lt;&gt;"","",MID(F487, H487+1, I487-H487-1))</f>
        <v/>
      </c>
      <c r="N487" s="2" t="str">
        <f>IF(J487&lt;&gt;"","",LEN(M487))</f>
        <v/>
      </c>
      <c r="O487" s="2" t="str">
        <f>IF(J487&lt;&gt;"","",K487*M487)</f>
        <v/>
      </c>
      <c r="R487" s="1" t="str">
        <v>847,132){)what(134,971)what(336,162))&amp;/what()</v>
      </c>
      <c r="S487" s="1" t="str">
        <v>785,136</v>
      </c>
      <c r="T487" s="1" t="str">
        <v>785</v>
      </c>
      <c r="U487" s="1" t="str">
        <v>136</v>
      </c>
      <c r="V487" s="1">
        <v>106760</v>
      </c>
    </row>
    <row r="488" spans="4:22" x14ac:dyDescent="0.3">
      <c r="D488" s="2">
        <v>485</v>
      </c>
      <c r="E488" s="2">
        <f>SEARCH("mul",$C$4,E487+1)</f>
        <v>11905</v>
      </c>
      <c r="F488" s="2" t="str">
        <f>MID($C$4,E488,$F$1)</f>
        <v>mul(357,734)who</v>
      </c>
      <c r="G488" s="3">
        <f>SEARCH("(",F488)</f>
        <v>4</v>
      </c>
      <c r="H488" s="3">
        <f>SEARCH(",",F488)</f>
        <v>8</v>
      </c>
      <c r="I488" s="3">
        <f>SEARCH(")",F488)</f>
        <v>12</v>
      </c>
      <c r="J488" s="2" t="str">
        <f>IF(OR(ISERROR(G488),ISERROR(H488),ISERROR(I488)),"CORRUPT!","")</f>
        <v/>
      </c>
      <c r="K488" s="2" t="str">
        <f>IF(J488&lt;&gt;"","",MID(F488, G488+1, H488-G488-1))</f>
        <v>357</v>
      </c>
      <c r="L488" s="2">
        <f>IF(J488&lt;&gt;"","",LEN(K488))</f>
        <v>3</v>
      </c>
      <c r="M488" s="2" t="str">
        <f>IF(J488&lt;&gt;"","",MID(F488, H488+1, I488-H488-1))</f>
        <v>734</v>
      </c>
      <c r="N488" s="2">
        <f>IF(J488&lt;&gt;"","",LEN(M488))</f>
        <v>3</v>
      </c>
      <c r="O488" s="2">
        <f>IF(J488&lt;&gt;"","",K488*M488)</f>
        <v>262038</v>
      </c>
      <c r="R488" s="1" t="str">
        <v>470,625)#</v>
      </c>
      <c r="S488" s="1" t="str">
        <v>117,254</v>
      </c>
      <c r="T488" s="1" t="str">
        <v>117</v>
      </c>
      <c r="U488" s="1" t="str">
        <v>254</v>
      </c>
      <c r="V488" s="1">
        <v>29718</v>
      </c>
    </row>
    <row r="489" spans="4:22" x14ac:dyDescent="0.3">
      <c r="D489" s="2">
        <v>486</v>
      </c>
      <c r="E489" s="2">
        <f>SEARCH("mul",$C$4,E488+1)</f>
        <v>11947</v>
      </c>
      <c r="F489" s="2" t="str">
        <f>MID($C$4,E489,$F$1)</f>
        <v>mul(900,877)[{m</v>
      </c>
      <c r="G489" s="3">
        <f>SEARCH("(",F489)</f>
        <v>4</v>
      </c>
      <c r="H489" s="3">
        <f>SEARCH(",",F489)</f>
        <v>8</v>
      </c>
      <c r="I489" s="3">
        <f>SEARCH(")",F489)</f>
        <v>12</v>
      </c>
      <c r="J489" s="2" t="str">
        <f>IF(OR(ISERROR(G489),ISERROR(H489),ISERROR(I489)),"CORRUPT!","")</f>
        <v/>
      </c>
      <c r="K489" s="2" t="str">
        <f>IF(J489&lt;&gt;"","",MID(F489, G489+1, H489-G489-1))</f>
        <v>900</v>
      </c>
      <c r="L489" s="2">
        <f>IF(J489&lt;&gt;"","",LEN(K489))</f>
        <v>3</v>
      </c>
      <c r="M489" s="2" t="str">
        <f>IF(J489&lt;&gt;"","",MID(F489, H489+1, I489-H489-1))</f>
        <v>877</v>
      </c>
      <c r="N489" s="2">
        <f>IF(J489&lt;&gt;"","",LEN(M489))</f>
        <v>3</v>
      </c>
      <c r="O489" s="2">
        <f>IF(J489&lt;&gt;"","",K489*M489)</f>
        <v>789300</v>
      </c>
      <c r="R489" s="1" t="str">
        <v>275,789)where()&lt;]</v>
      </c>
      <c r="S489" s="1" t="str">
        <v>313,607</v>
      </c>
      <c r="T489" s="1" t="str">
        <v>313</v>
      </c>
      <c r="U489" s="1" t="str">
        <v>607</v>
      </c>
      <c r="V489" s="1">
        <v>189991</v>
      </c>
    </row>
    <row r="490" spans="4:22" x14ac:dyDescent="0.3">
      <c r="D490" s="2">
        <v>487</v>
      </c>
      <c r="E490" s="2">
        <f>SEARCH("mul",$C$4,E489+1)</f>
        <v>11961</v>
      </c>
      <c r="F490" s="2" t="str">
        <f>MID($C$4,E490,$F$1)</f>
        <v>mul(276,197)!ho</v>
      </c>
      <c r="G490" s="3">
        <f>SEARCH("(",F490)</f>
        <v>4</v>
      </c>
      <c r="H490" s="3">
        <f>SEARCH(",",F490)</f>
        <v>8</v>
      </c>
      <c r="I490" s="3">
        <f>SEARCH(")",F490)</f>
        <v>12</v>
      </c>
      <c r="J490" s="2" t="str">
        <f>IF(OR(ISERROR(G490),ISERROR(H490),ISERROR(I490)),"CORRUPT!","")</f>
        <v/>
      </c>
      <c r="K490" s="2" t="str">
        <f>IF(J490&lt;&gt;"","",MID(F490, G490+1, H490-G490-1))</f>
        <v>276</v>
      </c>
      <c r="L490" s="2">
        <f>IF(J490&lt;&gt;"","",LEN(K490))</f>
        <v>3</v>
      </c>
      <c r="M490" s="2" t="str">
        <f>IF(J490&lt;&gt;"","",MID(F490, H490+1, I490-H490-1))</f>
        <v>197</v>
      </c>
      <c r="N490" s="2">
        <f>IF(J490&lt;&gt;"","",LEN(M490))</f>
        <v>3</v>
      </c>
      <c r="O490" s="2">
        <f>IF(J490&lt;&gt;"","",K490*M490)</f>
        <v>54372</v>
      </c>
      <c r="R490" s="1" t="str">
        <v>15,846)when()from()</v>
      </c>
      <c r="S490" s="1" t="str">
        <v>678,806</v>
      </c>
      <c r="T490" s="1" t="str">
        <v>678</v>
      </c>
      <c r="U490" s="1" t="str">
        <v>806</v>
      </c>
      <c r="V490" s="1">
        <v>546468</v>
      </c>
    </row>
    <row r="491" spans="4:22" x14ac:dyDescent="0.3">
      <c r="D491" s="2">
        <v>488</v>
      </c>
      <c r="E491" s="2">
        <f>SEARCH("mul",$C$4,E490+1)</f>
        <v>11988</v>
      </c>
      <c r="F491" s="2" t="str">
        <f>MID($C$4,E491,$F$1)</f>
        <v>mul}$:why()who(</v>
      </c>
      <c r="G491" s="3">
        <f>SEARCH("(",F491)</f>
        <v>10</v>
      </c>
      <c r="H491" s="3" t="e">
        <f>SEARCH(",",F491)</f>
        <v>#VALUE!</v>
      </c>
      <c r="I491" s="3">
        <f>SEARCH(")",F491)</f>
        <v>11</v>
      </c>
      <c r="J491" s="2" t="str">
        <f>IF(OR(ISERROR(G491),ISERROR(H491),ISERROR(I491)),"CORRUPT!","")</f>
        <v>CORRUPT!</v>
      </c>
      <c r="K491" s="2" t="str">
        <f>IF(J491&lt;&gt;"","",MID(F491, G491+1, H491-G491-1))</f>
        <v/>
      </c>
      <c r="L491" s="2" t="str">
        <f>IF(J491&lt;&gt;"","",LEN(K491))</f>
        <v/>
      </c>
      <c r="M491" s="2" t="str">
        <f>IF(J491&lt;&gt;"","",MID(F491, H491+1, I491-H491-1))</f>
        <v/>
      </c>
      <c r="N491" s="2" t="str">
        <f>IF(J491&lt;&gt;"","",LEN(M491))</f>
        <v/>
      </c>
      <c r="O491" s="2" t="str">
        <f>IF(J491&lt;&gt;"","",K491*M491)</f>
        <v/>
      </c>
      <c r="R491" s="1" t="str">
        <v>21,575)%from()^&lt;from()@-}from()*</v>
      </c>
      <c r="S491" s="1" t="str">
        <v>226,595</v>
      </c>
      <c r="T491" s="1" t="str">
        <v>226</v>
      </c>
      <c r="U491" s="1" t="str">
        <v>595</v>
      </c>
      <c r="V491" s="1">
        <v>134470</v>
      </c>
    </row>
    <row r="492" spans="4:22" x14ac:dyDescent="0.3">
      <c r="D492" s="2">
        <v>489</v>
      </c>
      <c r="E492" s="2">
        <f>SEARCH("mul",$C$4,E491+1)</f>
        <v>12009</v>
      </c>
      <c r="F492" s="2" t="str">
        <f>MID($C$4,E492,$F$1)</f>
        <v>mul(635,783)mul</v>
      </c>
      <c r="G492" s="3">
        <f>SEARCH("(",F492)</f>
        <v>4</v>
      </c>
      <c r="H492" s="3">
        <f>SEARCH(",",F492)</f>
        <v>8</v>
      </c>
      <c r="I492" s="3">
        <f>SEARCH(")",F492)</f>
        <v>12</v>
      </c>
      <c r="J492" s="2" t="str">
        <f>IF(OR(ISERROR(G492),ISERROR(H492),ISERROR(I492)),"CORRUPT!","")</f>
        <v/>
      </c>
      <c r="K492" s="2" t="str">
        <f>IF(J492&lt;&gt;"","",MID(F492, G492+1, H492-G492-1))</f>
        <v>635</v>
      </c>
      <c r="L492" s="2">
        <f>IF(J492&lt;&gt;"","",LEN(K492))</f>
        <v>3</v>
      </c>
      <c r="M492" s="2" t="str">
        <f>IF(J492&lt;&gt;"","",MID(F492, H492+1, I492-H492-1))</f>
        <v>783</v>
      </c>
      <c r="N492" s="2">
        <f>IF(J492&lt;&gt;"","",LEN(M492))</f>
        <v>3</v>
      </c>
      <c r="O492" s="2">
        <f>IF(J492&lt;&gt;"","",K492*M492)</f>
        <v>497205</v>
      </c>
      <c r="R492" s="1" t="str">
        <v>437,525))+!~{select()don't()&gt;when()when() ~(+select()what()</v>
      </c>
      <c r="S492" s="1" t="str">
        <v>415,823</v>
      </c>
      <c r="T492" s="1" t="str">
        <v>415</v>
      </c>
      <c r="U492" s="1" t="str">
        <v>823</v>
      </c>
      <c r="V492" s="1">
        <v>341545</v>
      </c>
    </row>
    <row r="493" spans="4:22" x14ac:dyDescent="0.3">
      <c r="D493" s="2">
        <v>490</v>
      </c>
      <c r="E493" s="2">
        <f>SEARCH("mul",$C$4,E492+1)</f>
        <v>12021</v>
      </c>
      <c r="F493" s="2" t="str">
        <f>MID($C$4,E493,$F$1)</f>
        <v>mul(276,497)[se</v>
      </c>
      <c r="G493" s="3">
        <f>SEARCH("(",F493)</f>
        <v>4</v>
      </c>
      <c r="H493" s="3">
        <f>SEARCH(",",F493)</f>
        <v>8</v>
      </c>
      <c r="I493" s="3">
        <f>SEARCH(")",F493)</f>
        <v>12</v>
      </c>
      <c r="J493" s="2" t="str">
        <f>IF(OR(ISERROR(G493),ISERROR(H493),ISERROR(I493)),"CORRUPT!","")</f>
        <v/>
      </c>
      <c r="K493" s="2" t="str">
        <f>IF(J493&lt;&gt;"","",MID(F493, G493+1, H493-G493-1))</f>
        <v>276</v>
      </c>
      <c r="L493" s="2">
        <f>IF(J493&lt;&gt;"","",LEN(K493))</f>
        <v>3</v>
      </c>
      <c r="M493" s="2" t="str">
        <f>IF(J493&lt;&gt;"","",MID(F493, H493+1, I493-H493-1))</f>
        <v>497</v>
      </c>
      <c r="N493" s="2">
        <f>IF(J493&lt;&gt;"","",LEN(M493))</f>
        <v>3</v>
      </c>
      <c r="O493" s="2">
        <f>IF(J493&lt;&gt;"","",K493*M493)</f>
        <v>137172</v>
      </c>
      <c r="R493" s="1" t="str">
        <v>554,360)from()]~</v>
      </c>
      <c r="S493" s="1" t="str">
        <v>873,709</v>
      </c>
      <c r="T493" s="1" t="str">
        <v>873</v>
      </c>
      <c r="U493" s="1" t="str">
        <v>709</v>
      </c>
      <c r="V493" s="1">
        <v>618957</v>
      </c>
    </row>
    <row r="494" spans="4:22" x14ac:dyDescent="0.3">
      <c r="D494" s="2">
        <v>491</v>
      </c>
      <c r="E494" s="2">
        <f>SEARCH("mul",$C$4,E493+1)</f>
        <v>12067</v>
      </c>
      <c r="F494" s="2" t="str">
        <f>MID($C$4,E494,$F$1)</f>
        <v>mul(555,644);^w</v>
      </c>
      <c r="G494" s="3">
        <f>SEARCH("(",F494)</f>
        <v>4</v>
      </c>
      <c r="H494" s="3">
        <f>SEARCH(",",F494)</f>
        <v>8</v>
      </c>
      <c r="I494" s="3">
        <f>SEARCH(")",F494)</f>
        <v>12</v>
      </c>
      <c r="J494" s="2" t="str">
        <f>IF(OR(ISERROR(G494),ISERROR(H494),ISERROR(I494)),"CORRUPT!","")</f>
        <v/>
      </c>
      <c r="K494" s="2" t="str">
        <f>IF(J494&lt;&gt;"","",MID(F494, G494+1, H494-G494-1))</f>
        <v>555</v>
      </c>
      <c r="L494" s="2">
        <f>IF(J494&lt;&gt;"","",LEN(K494))</f>
        <v>3</v>
      </c>
      <c r="M494" s="2" t="str">
        <f>IF(J494&lt;&gt;"","",MID(F494, H494+1, I494-H494-1))</f>
        <v>644</v>
      </c>
      <c r="N494" s="2">
        <f>IF(J494&lt;&gt;"","",LEN(M494))</f>
        <v>3</v>
      </c>
      <c r="O494" s="2">
        <f>IF(J494&lt;&gt;"","",K494*M494)</f>
        <v>357420</v>
      </c>
      <c r="R494" s="1" t="str">
        <v>785,136)}%#:?</v>
      </c>
      <c r="S494" s="1" t="str">
        <v>121,496</v>
      </c>
      <c r="T494" s="1" t="str">
        <v>121</v>
      </c>
      <c r="U494" s="1" t="str">
        <v>496</v>
      </c>
      <c r="V494" s="1">
        <v>60016</v>
      </c>
    </row>
    <row r="495" spans="4:22" x14ac:dyDescent="0.3">
      <c r="D495" s="2">
        <v>492</v>
      </c>
      <c r="E495" s="2">
        <f>SEARCH("mul",$C$4,E494+1)</f>
        <v>12088</v>
      </c>
      <c r="F495" s="2" t="str">
        <f>MID($C$4,E495,$F$1)</f>
        <v>mul(341:@#{mul(</v>
      </c>
      <c r="G495" s="3">
        <f>SEARCH("(",F495)</f>
        <v>4</v>
      </c>
      <c r="H495" s="3" t="e">
        <f>SEARCH(",",F495)</f>
        <v>#VALUE!</v>
      </c>
      <c r="I495" s="3" t="e">
        <f>SEARCH(")",F495)</f>
        <v>#VALUE!</v>
      </c>
      <c r="J495" s="2" t="str">
        <f>IF(OR(ISERROR(G495),ISERROR(H495),ISERROR(I495)),"CORRUPT!","")</f>
        <v>CORRUPT!</v>
      </c>
      <c r="K495" s="2" t="str">
        <f>IF(J495&lt;&gt;"","",MID(F495, G495+1, H495-G495-1))</f>
        <v/>
      </c>
      <c r="L495" s="2" t="str">
        <f>IF(J495&lt;&gt;"","",LEN(K495))</f>
        <v/>
      </c>
      <c r="M495" s="2" t="str">
        <f>IF(J495&lt;&gt;"","",MID(F495, H495+1, I495-H495-1))</f>
        <v/>
      </c>
      <c r="N495" s="2" t="str">
        <f>IF(J495&lt;&gt;"","",LEN(M495))</f>
        <v/>
      </c>
      <c r="O495" s="2" t="str">
        <f>IF(J495&lt;&gt;"","",K495*M495)</f>
        <v/>
      </c>
      <c r="R495" s="1" t="str">
        <v>117,254)who()do()% %;%-from(747,86)how()^/</v>
      </c>
      <c r="S495" s="1" t="str">
        <v>590,916</v>
      </c>
      <c r="T495" s="1" t="str">
        <v>590</v>
      </c>
      <c r="U495" s="1" t="str">
        <v>916</v>
      </c>
      <c r="V495" s="1">
        <v>540440</v>
      </c>
    </row>
    <row r="496" spans="4:22" x14ac:dyDescent="0.3">
      <c r="D496" s="2">
        <v>493</v>
      </c>
      <c r="E496" s="2">
        <f>SEARCH("mul",$C$4,E495+1)</f>
        <v>12099</v>
      </c>
      <c r="F496" s="2" t="str">
        <f>MID($C$4,E496,$F$1)</f>
        <v>mul(135,278)whe</v>
      </c>
      <c r="G496" s="3">
        <f>SEARCH("(",F496)</f>
        <v>4</v>
      </c>
      <c r="H496" s="3">
        <f>SEARCH(",",F496)</f>
        <v>8</v>
      </c>
      <c r="I496" s="3">
        <f>SEARCH(")",F496)</f>
        <v>12</v>
      </c>
      <c r="J496" s="2" t="str">
        <f>IF(OR(ISERROR(G496),ISERROR(H496),ISERROR(I496)),"CORRUPT!","")</f>
        <v/>
      </c>
      <c r="K496" s="2" t="str">
        <f>IF(J496&lt;&gt;"","",MID(F496, G496+1, H496-G496-1))</f>
        <v>135</v>
      </c>
      <c r="L496" s="2">
        <f>IF(J496&lt;&gt;"","",LEN(K496))</f>
        <v>3</v>
      </c>
      <c r="M496" s="2" t="str">
        <f>IF(J496&lt;&gt;"","",MID(F496, H496+1, I496-H496-1))</f>
        <v>278</v>
      </c>
      <c r="N496" s="2">
        <f>IF(J496&lt;&gt;"","",LEN(M496))</f>
        <v>3</v>
      </c>
      <c r="O496" s="2">
        <f>IF(J496&lt;&gt;"","",K496*M496)</f>
        <v>37530</v>
      </c>
      <c r="R496" s="1" t="str">
        <v>313,607)why()</v>
      </c>
      <c r="S496" s="1" t="str">
        <v>477,943</v>
      </c>
      <c r="T496" s="1" t="str">
        <v>477</v>
      </c>
      <c r="U496" s="1" t="str">
        <v>943</v>
      </c>
      <c r="V496" s="1">
        <v>449811</v>
      </c>
    </row>
    <row r="497" spans="4:22" x14ac:dyDescent="0.3">
      <c r="D497" s="2">
        <v>494</v>
      </c>
      <c r="E497" s="2">
        <f>SEARCH("mul",$C$4,E496+1)</f>
        <v>12137</v>
      </c>
      <c r="F497" s="2" t="str">
        <f>MID($C$4,E497,$F$1)</f>
        <v>mul(439,633),]$</v>
      </c>
      <c r="G497" s="3">
        <f>SEARCH("(",F497)</f>
        <v>4</v>
      </c>
      <c r="H497" s="3">
        <f>SEARCH(",",F497)</f>
        <v>8</v>
      </c>
      <c r="I497" s="3">
        <f>SEARCH(")",F497)</f>
        <v>12</v>
      </c>
      <c r="J497" s="2" t="str">
        <f>IF(OR(ISERROR(G497),ISERROR(H497),ISERROR(I497)),"CORRUPT!","")</f>
        <v/>
      </c>
      <c r="K497" s="2" t="str">
        <f>IF(J497&lt;&gt;"","",MID(F497, G497+1, H497-G497-1))</f>
        <v>439</v>
      </c>
      <c r="L497" s="2">
        <f>IF(J497&lt;&gt;"","",LEN(K497))</f>
        <v>3</v>
      </c>
      <c r="M497" s="2" t="str">
        <f>IF(J497&lt;&gt;"","",MID(F497, H497+1, I497-H497-1))</f>
        <v>633</v>
      </c>
      <c r="N497" s="2">
        <f>IF(J497&lt;&gt;"","",LEN(M497))</f>
        <v>3</v>
      </c>
      <c r="O497" s="2">
        <f>IF(J497&lt;&gt;"","",K497*M497)</f>
        <v>277887</v>
      </c>
      <c r="R497" s="1" t="str">
        <v>678,806),(</v>
      </c>
      <c r="S497" s="1" t="str">
        <v>654,383</v>
      </c>
      <c r="T497" s="1" t="str">
        <v>654</v>
      </c>
      <c r="U497" s="1" t="str">
        <v>383</v>
      </c>
      <c r="V497" s="1">
        <v>250482</v>
      </c>
    </row>
    <row r="498" spans="4:22" x14ac:dyDescent="0.3">
      <c r="D498" s="2">
        <v>495</v>
      </c>
      <c r="E498" s="2">
        <f>SEARCH("mul",$C$4,E497+1)</f>
        <v>12162</v>
      </c>
      <c r="F498" s="2" t="str">
        <f>MID($C$4,E498,$F$1)</f>
        <v>mul(708,508)whe</v>
      </c>
      <c r="G498" s="3">
        <f>SEARCH("(",F498)</f>
        <v>4</v>
      </c>
      <c r="H498" s="3">
        <f>SEARCH(",",F498)</f>
        <v>8</v>
      </c>
      <c r="I498" s="3">
        <f>SEARCH(")",F498)</f>
        <v>12</v>
      </c>
      <c r="J498" s="2" t="str">
        <f>IF(OR(ISERROR(G498),ISERROR(H498),ISERROR(I498)),"CORRUPT!","")</f>
        <v/>
      </c>
      <c r="K498" s="2" t="str">
        <f>IF(J498&lt;&gt;"","",MID(F498, G498+1, H498-G498-1))</f>
        <v>708</v>
      </c>
      <c r="L498" s="2">
        <f>IF(J498&lt;&gt;"","",LEN(K498))</f>
        <v>3</v>
      </c>
      <c r="M498" s="2" t="str">
        <f>IF(J498&lt;&gt;"","",MID(F498, H498+1, I498-H498-1))</f>
        <v>508</v>
      </c>
      <c r="N498" s="2">
        <f>IF(J498&lt;&gt;"","",LEN(M498))</f>
        <v>3</v>
      </c>
      <c r="O498" s="2">
        <f>IF(J498&lt;&gt;"","",K498*M498)</f>
        <v>359664</v>
      </c>
      <c r="R498" s="1" t="str">
        <v>226,595)#%</v>
      </c>
      <c r="S498" s="1" t="str">
        <v>433,312</v>
      </c>
      <c r="T498" s="1" t="str">
        <v>433</v>
      </c>
      <c r="U498" s="1" t="str">
        <v>312</v>
      </c>
      <c r="V498" s="1">
        <v>135096</v>
      </c>
    </row>
    <row r="499" spans="4:22" x14ac:dyDescent="0.3">
      <c r="D499" s="2">
        <v>496</v>
      </c>
      <c r="E499" s="2">
        <f>SEARCH("mul",$C$4,E498+1)</f>
        <v>12195</v>
      </c>
      <c r="F499" s="2" t="str">
        <f>MID($C$4,E499,$F$1)</f>
        <v>mul(700--(why()</v>
      </c>
      <c r="G499" s="3">
        <f>SEARCH("(",F499)</f>
        <v>4</v>
      </c>
      <c r="H499" s="3" t="e">
        <f>SEARCH(",",F499)</f>
        <v>#VALUE!</v>
      </c>
      <c r="I499" s="3">
        <f>SEARCH(")",F499)</f>
        <v>15</v>
      </c>
      <c r="J499" s="2" t="str">
        <f>IF(OR(ISERROR(G499),ISERROR(H499),ISERROR(I499)),"CORRUPT!","")</f>
        <v>CORRUPT!</v>
      </c>
      <c r="K499" s="2" t="str">
        <f>IF(J499&lt;&gt;"","",MID(F499, G499+1, H499-G499-1))</f>
        <v/>
      </c>
      <c r="L499" s="2" t="str">
        <f>IF(J499&lt;&gt;"","",LEN(K499))</f>
        <v/>
      </c>
      <c r="M499" s="2" t="str">
        <f>IF(J499&lt;&gt;"","",MID(F499, H499+1, I499-H499-1))</f>
        <v/>
      </c>
      <c r="N499" s="2" t="str">
        <f>IF(J499&lt;&gt;"","",LEN(M499))</f>
        <v/>
      </c>
      <c r="O499" s="2" t="str">
        <f>IF(J499&lt;&gt;"","",K499*M499)</f>
        <v/>
      </c>
      <c r="R499" s="1" t="str">
        <v>415,823)']</v>
      </c>
      <c r="S499" s="1" t="str">
        <v>512,521</v>
      </c>
      <c r="T499" s="1" t="str">
        <v>512</v>
      </c>
      <c r="U499" s="1" t="str">
        <v>521</v>
      </c>
      <c r="V499" s="1">
        <v>266752</v>
      </c>
    </row>
    <row r="500" spans="4:22" x14ac:dyDescent="0.3">
      <c r="D500" s="2">
        <v>497</v>
      </c>
      <c r="E500" s="2">
        <f>SEARCH("mul",$C$4,E499+1)</f>
        <v>12232</v>
      </c>
      <c r="F500" s="2" t="str">
        <f>MID($C$4,E500,$F$1)</f>
        <v>mul(39what(),#}</v>
      </c>
      <c r="G500" s="3">
        <f>SEARCH("(",F500)</f>
        <v>4</v>
      </c>
      <c r="H500" s="3">
        <f>SEARCH(",",F500)</f>
        <v>13</v>
      </c>
      <c r="I500" s="3">
        <f>SEARCH(")",F500)</f>
        <v>12</v>
      </c>
      <c r="J500" s="2" t="s">
        <v>2</v>
      </c>
      <c r="K500" s="2" t="str">
        <f>IF(J500&lt;&gt;"","",MID(F500, G500+1, H500-G500-1))</f>
        <v/>
      </c>
      <c r="L500" s="2" t="str">
        <f>IF(J500&lt;&gt;"","",LEN(K500))</f>
        <v/>
      </c>
      <c r="M500" s="2" t="str">
        <f>IF(J500&lt;&gt;"","",MID(F500, H500+1, I500-H500-1))</f>
        <v/>
      </c>
      <c r="N500" s="2" t="str">
        <f>IF(J500&lt;&gt;"","",LEN(M500))</f>
        <v/>
      </c>
      <c r="O500" s="2" t="str">
        <f>IF(J500&lt;&gt;"","",K500*M500)</f>
        <v/>
      </c>
      <c r="R500" s="1" t="str">
        <v>873,709)#;select()'&lt;&gt; *</v>
      </c>
      <c r="S500" s="1" t="str">
        <v>532,452</v>
      </c>
      <c r="T500" s="1" t="str">
        <v>532</v>
      </c>
      <c r="U500" s="1" t="str">
        <v>452</v>
      </c>
      <c r="V500" s="1">
        <v>240464</v>
      </c>
    </row>
    <row r="501" spans="4:22" x14ac:dyDescent="0.3">
      <c r="D501" s="2">
        <v>498</v>
      </c>
      <c r="E501" s="2">
        <f>SEARCH("mul",$C$4,E500+1)</f>
        <v>12264</v>
      </c>
      <c r="F501" s="2" t="str">
        <f>MID($C$4,E501,$F$1)</f>
        <v>mul(847,132){)w</v>
      </c>
      <c r="G501" s="3">
        <f>SEARCH("(",F501)</f>
        <v>4</v>
      </c>
      <c r="H501" s="3">
        <f>SEARCH(",",F501)</f>
        <v>8</v>
      </c>
      <c r="I501" s="3">
        <f>SEARCH(")",F501)</f>
        <v>12</v>
      </c>
      <c r="J501" s="2" t="str">
        <f>IF(OR(ISERROR(G501),ISERROR(H501),ISERROR(I501)),"CORRUPT!","")</f>
        <v/>
      </c>
      <c r="K501" s="2" t="str">
        <f>IF(J501&lt;&gt;"","",MID(F501, G501+1, H501-G501-1))</f>
        <v>847</v>
      </c>
      <c r="L501" s="2">
        <f>IF(J501&lt;&gt;"","",LEN(K501))</f>
        <v>3</v>
      </c>
      <c r="M501" s="2" t="str">
        <f>IF(J501&lt;&gt;"","",MID(F501, H501+1, I501-H501-1))</f>
        <v>132</v>
      </c>
      <c r="N501" s="2">
        <f>IF(J501&lt;&gt;"","",LEN(M501))</f>
        <v>3</v>
      </c>
      <c r="O501" s="2">
        <f>IF(J501&lt;&gt;"","",K501*M501)</f>
        <v>111804</v>
      </c>
      <c r="R501" s="1" t="str">
        <v>121,496)why()who()what()?where()</v>
      </c>
      <c r="S501" s="1" t="str">
        <v>470,836why(</v>
      </c>
      <c r="T501" s="1" t="str">
        <v>470</v>
      </c>
      <c r="U501" s="1" t="str">
        <v>836why(</v>
      </c>
      <c r="V501" s="1">
        <v>0</v>
      </c>
    </row>
    <row r="502" spans="4:22" x14ac:dyDescent="0.3">
      <c r="D502" s="2">
        <v>499</v>
      </c>
      <c r="E502" s="2">
        <f>SEARCH("mul",$C$4,E501+1)</f>
        <v>12313</v>
      </c>
      <c r="F502" s="2" t="str">
        <f>MID($C$4,E502,$F$1)</f>
        <v>mul(470,625)#mu</v>
      </c>
      <c r="G502" s="3">
        <f>SEARCH("(",F502)</f>
        <v>4</v>
      </c>
      <c r="H502" s="3">
        <f>SEARCH(",",F502)</f>
        <v>8</v>
      </c>
      <c r="I502" s="3">
        <f>SEARCH(")",F502)</f>
        <v>12</v>
      </c>
      <c r="J502" s="2" t="str">
        <f>IF(OR(ISERROR(G502),ISERROR(H502),ISERROR(I502)),"CORRUPT!","")</f>
        <v/>
      </c>
      <c r="K502" s="2" t="str">
        <f>IF(J502&lt;&gt;"","",MID(F502, G502+1, H502-G502-1))</f>
        <v>470</v>
      </c>
      <c r="L502" s="2">
        <f>IF(J502&lt;&gt;"","",LEN(K502))</f>
        <v>3</v>
      </c>
      <c r="M502" s="2" t="str">
        <f>IF(J502&lt;&gt;"","",MID(F502, H502+1, I502-H502-1))</f>
        <v>625</v>
      </c>
      <c r="N502" s="2">
        <f>IF(J502&lt;&gt;"","",LEN(M502))</f>
        <v>3</v>
      </c>
      <c r="O502" s="2">
        <f>IF(J502&lt;&gt;"","",K502*M502)</f>
        <v>293750</v>
      </c>
      <c r="R502" s="1" t="str">
        <v>590,916)',/@what()how()?%</v>
      </c>
      <c r="S502" s="1" t="str">
        <v>987,617</v>
      </c>
      <c r="T502" s="1" t="str">
        <v>987</v>
      </c>
      <c r="U502" s="1" t="str">
        <v>617</v>
      </c>
      <c r="V502" s="1">
        <v>608979</v>
      </c>
    </row>
    <row r="503" spans="4:22" x14ac:dyDescent="0.3">
      <c r="D503" s="2">
        <v>500</v>
      </c>
      <c r="E503" s="2">
        <f>SEARCH("mul",$C$4,E502+1)</f>
        <v>12326</v>
      </c>
      <c r="F503" s="2" t="str">
        <f>MID($C$4,E503,$F$1)</f>
        <v>mul(275,789)whe</v>
      </c>
      <c r="G503" s="3">
        <f>SEARCH("(",F503)</f>
        <v>4</v>
      </c>
      <c r="H503" s="3">
        <f>SEARCH(",",F503)</f>
        <v>8</v>
      </c>
      <c r="I503" s="3">
        <f>SEARCH(")",F503)</f>
        <v>12</v>
      </c>
      <c r="J503" s="2" t="str">
        <f>IF(OR(ISERROR(G503),ISERROR(H503),ISERROR(I503)),"CORRUPT!","")</f>
        <v/>
      </c>
      <c r="K503" s="2" t="str">
        <f>IF(J503&lt;&gt;"","",MID(F503, G503+1, H503-G503-1))</f>
        <v>275</v>
      </c>
      <c r="L503" s="2">
        <f>IF(J503&lt;&gt;"","",LEN(K503))</f>
        <v>3</v>
      </c>
      <c r="M503" s="2" t="str">
        <f>IF(J503&lt;&gt;"","",MID(F503, H503+1, I503-H503-1))</f>
        <v>789</v>
      </c>
      <c r="N503" s="2">
        <f>IF(J503&lt;&gt;"","",LEN(M503))</f>
        <v>3</v>
      </c>
      <c r="O503" s="2">
        <f>IF(J503&lt;&gt;"","",K503*M503)</f>
        <v>216975</v>
      </c>
      <c r="R503" s="1" t="str">
        <v>477,943)when()who()/';%</v>
      </c>
      <c r="S503" s="1" t="str">
        <v>85,662</v>
      </c>
      <c r="T503" s="1" t="str">
        <v>85</v>
      </c>
      <c r="U503" s="1" t="str">
        <v>662</v>
      </c>
      <c r="V503" s="1">
        <v>56270</v>
      </c>
    </row>
    <row r="504" spans="4:22" x14ac:dyDescent="0.3">
      <c r="D504" s="2">
        <v>501</v>
      </c>
      <c r="E504" s="2">
        <f>SEARCH("mul",$C$4,E503+1)</f>
        <v>12347</v>
      </c>
      <c r="F504" s="2" t="str">
        <f>MID($C$4,E504,$F$1)</f>
        <v>mul(15,846)when</v>
      </c>
      <c r="G504" s="3">
        <f>SEARCH("(",F504)</f>
        <v>4</v>
      </c>
      <c r="H504" s="3">
        <f>SEARCH(",",F504)</f>
        <v>7</v>
      </c>
      <c r="I504" s="3">
        <f>SEARCH(")",F504)</f>
        <v>11</v>
      </c>
      <c r="J504" s="2" t="str">
        <f>IF(OR(ISERROR(G504),ISERROR(H504),ISERROR(I504)),"CORRUPT!","")</f>
        <v/>
      </c>
      <c r="K504" s="2" t="str">
        <f>IF(J504&lt;&gt;"","",MID(F504, G504+1, H504-G504-1))</f>
        <v>15</v>
      </c>
      <c r="L504" s="2">
        <f>IF(J504&lt;&gt;"","",LEN(K504))</f>
        <v>2</v>
      </c>
      <c r="M504" s="2" t="str">
        <f>IF(J504&lt;&gt;"","",MID(F504, H504+1, I504-H504-1))</f>
        <v>846</v>
      </c>
      <c r="N504" s="2">
        <f>IF(J504&lt;&gt;"","",LEN(M504))</f>
        <v>3</v>
      </c>
      <c r="O504" s="2">
        <f>IF(J504&lt;&gt;"","",K504*M504)</f>
        <v>12690</v>
      </c>
      <c r="R504" s="1" t="str">
        <v>654,383)select()*why()'^select()]select()&amp;</v>
      </c>
      <c r="S504" s="1" t="str">
        <v>469,324</v>
      </c>
      <c r="T504" s="1" t="str">
        <v>469</v>
      </c>
      <c r="U504" s="1" t="str">
        <v>324</v>
      </c>
      <c r="V504" s="1">
        <v>151956</v>
      </c>
    </row>
    <row r="505" spans="4:22" x14ac:dyDescent="0.3">
      <c r="D505" s="2">
        <v>502</v>
      </c>
      <c r="E505" s="2">
        <f>SEARCH("mul",$C$4,E504+1)</f>
        <v>12370</v>
      </c>
      <c r="F505" s="2" t="str">
        <f>MID($C$4,E505,$F$1)</f>
        <v>mul(21,575)%fro</v>
      </c>
      <c r="G505" s="3">
        <f>SEARCH("(",F505)</f>
        <v>4</v>
      </c>
      <c r="H505" s="3">
        <f>SEARCH(",",F505)</f>
        <v>7</v>
      </c>
      <c r="I505" s="3">
        <f>SEARCH(")",F505)</f>
        <v>11</v>
      </c>
      <c r="J505" s="2" t="str">
        <f>IF(OR(ISERROR(G505),ISERROR(H505),ISERROR(I505)),"CORRUPT!","")</f>
        <v/>
      </c>
      <c r="K505" s="2" t="str">
        <f>IF(J505&lt;&gt;"","",MID(F505, G505+1, H505-G505-1))</f>
        <v>21</v>
      </c>
      <c r="L505" s="2">
        <f>IF(J505&lt;&gt;"","",LEN(K505))</f>
        <v>2</v>
      </c>
      <c r="M505" s="2" t="str">
        <f>IF(J505&lt;&gt;"","",MID(F505, H505+1, I505-H505-1))</f>
        <v>575</v>
      </c>
      <c r="N505" s="2">
        <f>IF(J505&lt;&gt;"","",LEN(M505))</f>
        <v>3</v>
      </c>
      <c r="O505" s="2">
        <f>IF(J505&lt;&gt;"","",K505*M505)</f>
        <v>12075</v>
      </c>
      <c r="R505" s="1" t="str">
        <v>433,312);//~++what()&amp;&lt;?do()who()^&amp;from()#how();[[#</v>
      </c>
      <c r="S505" s="1" t="str">
        <v>891,321</v>
      </c>
      <c r="T505" s="1" t="str">
        <v>891</v>
      </c>
      <c r="U505" s="1" t="str">
        <v>321</v>
      </c>
      <c r="V505" s="1">
        <v>286011</v>
      </c>
    </row>
    <row r="506" spans="4:22" x14ac:dyDescent="0.3">
      <c r="D506" s="2">
        <v>503</v>
      </c>
      <c r="E506" s="2">
        <f>SEARCH("mul",$C$4,E505+1)</f>
        <v>12406</v>
      </c>
      <c r="F506" s="2" t="str">
        <f>MID($C$4,E506,$F$1)</f>
        <v>mul(437,525))+!</v>
      </c>
      <c r="G506" s="3">
        <f>SEARCH("(",F506)</f>
        <v>4</v>
      </c>
      <c r="H506" s="3">
        <f>SEARCH(",",F506)</f>
        <v>8</v>
      </c>
      <c r="I506" s="3">
        <f>SEARCH(")",F506)</f>
        <v>12</v>
      </c>
      <c r="J506" s="2" t="str">
        <f>IF(OR(ISERROR(G506),ISERROR(H506),ISERROR(I506)),"CORRUPT!","")</f>
        <v/>
      </c>
      <c r="K506" s="2" t="str">
        <f>IF(J506&lt;&gt;"","",MID(F506, G506+1, H506-G506-1))</f>
        <v>437</v>
      </c>
      <c r="L506" s="2">
        <f>IF(J506&lt;&gt;"","",LEN(K506))</f>
        <v>3</v>
      </c>
      <c r="M506" s="2" t="str">
        <f>IF(J506&lt;&gt;"","",MID(F506, H506+1, I506-H506-1))</f>
        <v>525</v>
      </c>
      <c r="N506" s="2">
        <f>IF(J506&lt;&gt;"","",LEN(M506))</f>
        <v>3</v>
      </c>
      <c r="O506" s="2">
        <f>IF(J506&lt;&gt;"","",K506*M506)</f>
        <v>229425</v>
      </c>
      <c r="R506" s="1" t="str">
        <v>512,521)%&gt;![]</v>
      </c>
      <c r="S506" s="1" t="str">
        <v>792,73</v>
      </c>
      <c r="T506" s="1" t="str">
        <v>792</v>
      </c>
      <c r="U506" s="1" t="str">
        <v>73</v>
      </c>
      <c r="V506" s="1">
        <v>57816</v>
      </c>
    </row>
    <row r="507" spans="4:22" x14ac:dyDescent="0.3">
      <c r="D507" s="2">
        <v>504</v>
      </c>
      <c r="E507" s="2">
        <f>SEARCH("mul",$C$4,E506+1)</f>
        <v>12469</v>
      </c>
      <c r="F507" s="2" t="str">
        <f>MID($C$4,E507,$F$1)</f>
        <v>mul(554,360)fro</v>
      </c>
      <c r="G507" s="3">
        <f>SEARCH("(",F507)</f>
        <v>4</v>
      </c>
      <c r="H507" s="3">
        <f>SEARCH(",",F507)</f>
        <v>8</v>
      </c>
      <c r="I507" s="3">
        <f>SEARCH(")",F507)</f>
        <v>12</v>
      </c>
      <c r="J507" s="2" t="str">
        <f>IF(OR(ISERROR(G507),ISERROR(H507),ISERROR(I507)),"CORRUPT!","")</f>
        <v/>
      </c>
      <c r="K507" s="2" t="str">
        <f>IF(J507&lt;&gt;"","",MID(F507, G507+1, H507-G507-1))</f>
        <v>554</v>
      </c>
      <c r="L507" s="2">
        <f>IF(J507&lt;&gt;"","",LEN(K507))</f>
        <v>3</v>
      </c>
      <c r="M507" s="2" t="str">
        <f>IF(J507&lt;&gt;"","",MID(F507, H507+1, I507-H507-1))</f>
        <v>360</v>
      </c>
      <c r="N507" s="2">
        <f>IF(J507&lt;&gt;"","",LEN(M507))</f>
        <v>3</v>
      </c>
      <c r="O507" s="2">
        <f>IF(J507&lt;&gt;"","",K507*M507)</f>
        <v>199440</v>
      </c>
      <c r="R507" s="1" t="str">
        <v>532,452) +*&lt;@;</v>
      </c>
      <c r="S507" s="1" t="str">
        <v>522,233</v>
      </c>
      <c r="T507" s="1" t="str">
        <v>522</v>
      </c>
      <c r="U507" s="1" t="str">
        <v>233</v>
      </c>
      <c r="V507" s="1">
        <v>121626</v>
      </c>
    </row>
    <row r="508" spans="4:22" x14ac:dyDescent="0.3">
      <c r="D508" s="2">
        <v>505</v>
      </c>
      <c r="E508" s="2">
        <f>SEARCH("mul",$C$4,E507+1)</f>
        <v>12489</v>
      </c>
      <c r="F508" s="2" t="str">
        <f>MID($C$4,E508,$F$1)</f>
        <v>mul(785,136)}%#</v>
      </c>
      <c r="G508" s="3">
        <f>SEARCH("(",F508)</f>
        <v>4</v>
      </c>
      <c r="H508" s="3">
        <f>SEARCH(",",F508)</f>
        <v>8</v>
      </c>
      <c r="I508" s="3">
        <f>SEARCH(")",F508)</f>
        <v>12</v>
      </c>
      <c r="J508" s="2" t="str">
        <f>IF(OR(ISERROR(G508),ISERROR(H508),ISERROR(I508)),"CORRUPT!","")</f>
        <v/>
      </c>
      <c r="K508" s="2" t="str">
        <f>IF(J508&lt;&gt;"","",MID(F508, G508+1, H508-G508-1))</f>
        <v>785</v>
      </c>
      <c r="L508" s="2">
        <f>IF(J508&lt;&gt;"","",LEN(K508))</f>
        <v>3</v>
      </c>
      <c r="M508" s="2" t="str">
        <f>IF(J508&lt;&gt;"","",MID(F508, H508+1, I508-H508-1))</f>
        <v>136</v>
      </c>
      <c r="N508" s="2">
        <f>IF(J508&lt;&gt;"","",LEN(M508))</f>
        <v>3</v>
      </c>
      <c r="O508" s="2">
        <f>IF(J508&lt;&gt;"","",K508*M508)</f>
        <v>106760</v>
      </c>
      <c r="R508" s="1" t="str">
        <v>470,836why()who()select()#when()select()where()from(812,299)&lt;/</v>
      </c>
      <c r="S508" s="1" t="str">
        <v>195,940</v>
      </c>
      <c r="T508" s="1" t="str">
        <v>195</v>
      </c>
      <c r="U508" s="1" t="str">
        <v>940</v>
      </c>
      <c r="V508" s="1">
        <v>183300</v>
      </c>
    </row>
    <row r="509" spans="4:22" x14ac:dyDescent="0.3">
      <c r="D509" s="2">
        <v>506</v>
      </c>
      <c r="E509" s="2">
        <f>SEARCH("mul",$C$4,E508+1)</f>
        <v>12506</v>
      </c>
      <c r="F509" s="2" t="str">
        <f>MID($C$4,E509,$F$1)</f>
        <v>mul(117,254)who</v>
      </c>
      <c r="G509" s="3">
        <f>SEARCH("(",F509)</f>
        <v>4</v>
      </c>
      <c r="H509" s="3">
        <f>SEARCH(",",F509)</f>
        <v>8</v>
      </c>
      <c r="I509" s="3">
        <f>SEARCH(")",F509)</f>
        <v>12</v>
      </c>
      <c r="J509" s="2" t="str">
        <f>IF(OR(ISERROR(G509),ISERROR(H509),ISERROR(I509)),"CORRUPT!","")</f>
        <v/>
      </c>
      <c r="K509" s="2" t="str">
        <f>IF(J509&lt;&gt;"","",MID(F509, G509+1, H509-G509-1))</f>
        <v>117</v>
      </c>
      <c r="L509" s="2">
        <f>IF(J509&lt;&gt;"","",LEN(K509))</f>
        <v>3</v>
      </c>
      <c r="M509" s="2" t="str">
        <f>IF(J509&lt;&gt;"","",MID(F509, H509+1, I509-H509-1))</f>
        <v>254</v>
      </c>
      <c r="N509" s="2">
        <f>IF(J509&lt;&gt;"","",LEN(M509))</f>
        <v>3</v>
      </c>
      <c r="O509" s="2">
        <f>IF(J509&lt;&gt;"","",K509*M509)</f>
        <v>29718</v>
      </c>
      <c r="R509" s="1" t="str">
        <v>987,617)when()&amp;%;</v>
      </c>
      <c r="S509" s="1" t="str">
        <v>368,872</v>
      </c>
      <c r="T509" s="1" t="str">
        <v>368</v>
      </c>
      <c r="U509" s="1" t="str">
        <v>872</v>
      </c>
      <c r="V509" s="1">
        <v>320896</v>
      </c>
    </row>
    <row r="510" spans="4:22" x14ac:dyDescent="0.3">
      <c r="D510" s="2">
        <v>507</v>
      </c>
      <c r="E510" s="2">
        <f>SEARCH("mul",$C$4,E509+1)</f>
        <v>12552</v>
      </c>
      <c r="F510" s="2" t="str">
        <f>MID($C$4,E510,$F$1)</f>
        <v>mul(313,607)why</v>
      </c>
      <c r="G510" s="3">
        <f>SEARCH("(",F510)</f>
        <v>4</v>
      </c>
      <c r="H510" s="3">
        <f>SEARCH(",",F510)</f>
        <v>8</v>
      </c>
      <c r="I510" s="3">
        <f>SEARCH(")",F510)</f>
        <v>12</v>
      </c>
      <c r="J510" s="2" t="str">
        <f>IF(OR(ISERROR(G510),ISERROR(H510),ISERROR(I510)),"CORRUPT!","")</f>
        <v/>
      </c>
      <c r="K510" s="2" t="str">
        <f>IF(J510&lt;&gt;"","",MID(F510, G510+1, H510-G510-1))</f>
        <v>313</v>
      </c>
      <c r="L510" s="2">
        <f>IF(J510&lt;&gt;"","",LEN(K510))</f>
        <v>3</v>
      </c>
      <c r="M510" s="2" t="str">
        <f>IF(J510&lt;&gt;"","",MID(F510, H510+1, I510-H510-1))</f>
        <v>607</v>
      </c>
      <c r="N510" s="2">
        <f>IF(J510&lt;&gt;"","",LEN(M510))</f>
        <v>3</v>
      </c>
      <c r="O510" s="2">
        <f>IF(J510&lt;&gt;"","",K510*M510)</f>
        <v>189991</v>
      </c>
      <c r="R510" s="1" t="str">
        <v>85,662) select()select()*?&gt;</v>
      </c>
      <c r="S510" s="1" t="str">
        <v>920,394</v>
      </c>
      <c r="T510" s="1" t="str">
        <v>920</v>
      </c>
      <c r="U510" s="1" t="str">
        <v>394</v>
      </c>
      <c r="V510" s="1">
        <v>362480</v>
      </c>
    </row>
    <row r="511" spans="4:22" x14ac:dyDescent="0.3">
      <c r="D511" s="2">
        <v>508</v>
      </c>
      <c r="E511" s="2">
        <f>SEARCH("mul",$C$4,E510+1)</f>
        <v>12569</v>
      </c>
      <c r="F511" s="2" t="str">
        <f>MID($C$4,E511,$F$1)</f>
        <v>mul(678,806),(m</v>
      </c>
      <c r="G511" s="3">
        <f>SEARCH("(",F511)</f>
        <v>4</v>
      </c>
      <c r="H511" s="3">
        <f>SEARCH(",",F511)</f>
        <v>8</v>
      </c>
      <c r="I511" s="3">
        <f>SEARCH(")",F511)</f>
        <v>12</v>
      </c>
      <c r="J511" s="2" t="str">
        <f>IF(OR(ISERROR(G511),ISERROR(H511),ISERROR(I511)),"CORRUPT!","")</f>
        <v/>
      </c>
      <c r="K511" s="2" t="str">
        <f>IF(J511&lt;&gt;"","",MID(F511, G511+1, H511-G511-1))</f>
        <v>678</v>
      </c>
      <c r="L511" s="2">
        <f>IF(J511&lt;&gt;"","",LEN(K511))</f>
        <v>3</v>
      </c>
      <c r="M511" s="2" t="str">
        <f>IF(J511&lt;&gt;"","",MID(F511, H511+1, I511-H511-1))</f>
        <v>806</v>
      </c>
      <c r="N511" s="2">
        <f>IF(J511&lt;&gt;"","",LEN(M511))</f>
        <v>3</v>
      </c>
      <c r="O511" s="2">
        <f>IF(J511&lt;&gt;"","",K511*M511)</f>
        <v>546468</v>
      </c>
      <c r="R511" s="1" t="str">
        <v>469,324) select()why(){</v>
      </c>
      <c r="S511" s="1" t="str">
        <v>477,578</v>
      </c>
      <c r="T511" s="1" t="str">
        <v>477</v>
      </c>
      <c r="U511" s="1" t="str">
        <v>578</v>
      </c>
      <c r="V511" s="1">
        <v>275706</v>
      </c>
    </row>
    <row r="512" spans="4:22" x14ac:dyDescent="0.3">
      <c r="D512" s="2">
        <v>509</v>
      </c>
      <c r="E512" s="2">
        <f>SEARCH("mul",$C$4,E511+1)</f>
        <v>12583</v>
      </c>
      <c r="F512" s="2" t="str">
        <f>MID($C$4,E512,$F$1)</f>
        <v>mul(226,595)#%m</v>
      </c>
      <c r="G512" s="3">
        <f>SEARCH("(",F512)</f>
        <v>4</v>
      </c>
      <c r="H512" s="3">
        <f>SEARCH(",",F512)</f>
        <v>8</v>
      </c>
      <c r="I512" s="3">
        <f>SEARCH(")",F512)</f>
        <v>12</v>
      </c>
      <c r="J512" s="2" t="str">
        <f>IF(OR(ISERROR(G512),ISERROR(H512),ISERROR(I512)),"CORRUPT!","")</f>
        <v/>
      </c>
      <c r="K512" s="2" t="str">
        <f>IF(J512&lt;&gt;"","",MID(F512, G512+1, H512-G512-1))</f>
        <v>226</v>
      </c>
      <c r="L512" s="2">
        <f>IF(J512&lt;&gt;"","",LEN(K512))</f>
        <v>3</v>
      </c>
      <c r="M512" s="2" t="str">
        <f>IF(J512&lt;&gt;"","",MID(F512, H512+1, I512-H512-1))</f>
        <v>595</v>
      </c>
      <c r="N512" s="2">
        <f>IF(J512&lt;&gt;"","",LEN(M512))</f>
        <v>3</v>
      </c>
      <c r="O512" s="2">
        <f>IF(J512&lt;&gt;"","",K512*M512)</f>
        <v>134470</v>
      </c>
      <c r="R512" s="1" t="str">
        <v>891,321);'&amp;$%@{</v>
      </c>
      <c r="S512" s="1" t="str">
        <v>976,739</v>
      </c>
      <c r="T512" s="1" t="str">
        <v>976</v>
      </c>
      <c r="U512" s="1" t="str">
        <v>739</v>
      </c>
      <c r="V512" s="1">
        <v>721264</v>
      </c>
    </row>
    <row r="513" spans="4:22" x14ac:dyDescent="0.3">
      <c r="D513" s="2">
        <v>510</v>
      </c>
      <c r="E513" s="2">
        <f>SEARCH("mul",$C$4,E512+1)</f>
        <v>12597</v>
      </c>
      <c r="F513" s="2" t="str">
        <f>MID($C$4,E513,$F$1)</f>
        <v>mul(415,823)']m</v>
      </c>
      <c r="G513" s="3">
        <f>SEARCH("(",F513)</f>
        <v>4</v>
      </c>
      <c r="H513" s="3">
        <f>SEARCH(",",F513)</f>
        <v>8</v>
      </c>
      <c r="I513" s="3">
        <f>SEARCH(")",F513)</f>
        <v>12</v>
      </c>
      <c r="J513" s="2" t="str">
        <f>IF(OR(ISERROR(G513),ISERROR(H513),ISERROR(I513)),"CORRUPT!","")</f>
        <v/>
      </c>
      <c r="K513" s="2" t="str">
        <f>IF(J513&lt;&gt;"","",MID(F513, G513+1, H513-G513-1))</f>
        <v>415</v>
      </c>
      <c r="L513" s="2">
        <f>IF(J513&lt;&gt;"","",LEN(K513))</f>
        <v>3</v>
      </c>
      <c r="M513" s="2" t="str">
        <f>IF(J513&lt;&gt;"","",MID(F513, H513+1, I513-H513-1))</f>
        <v>823</v>
      </c>
      <c r="N513" s="2">
        <f>IF(J513&lt;&gt;"","",LEN(M513))</f>
        <v>3</v>
      </c>
      <c r="O513" s="2">
        <f>IF(J513&lt;&gt;"","",K513*M513)</f>
        <v>341545</v>
      </c>
      <c r="R513" s="1" t="str">
        <v>792,73)$$[who()&gt;[[from():mul&gt;why()?how()</v>
      </c>
      <c r="S513" s="1" t="str">
        <v>857,247</v>
      </c>
      <c r="T513" s="1" t="str">
        <v>857</v>
      </c>
      <c r="U513" s="1" t="str">
        <v>247</v>
      </c>
      <c r="V513" s="1">
        <v>211679</v>
      </c>
    </row>
    <row r="514" spans="4:22" x14ac:dyDescent="0.3">
      <c r="D514" s="2">
        <v>511</v>
      </c>
      <c r="E514" s="2">
        <f>SEARCH("mul",$C$4,E513+1)</f>
        <v>12611</v>
      </c>
      <c r="F514" s="2" t="str">
        <f>MID($C$4,E514,$F$1)</f>
        <v>mul(873,709)#;s</v>
      </c>
      <c r="G514" s="3">
        <f>SEARCH("(",F514)</f>
        <v>4</v>
      </c>
      <c r="H514" s="3">
        <f>SEARCH(",",F514)</f>
        <v>8</v>
      </c>
      <c r="I514" s="3">
        <f>SEARCH(")",F514)</f>
        <v>12</v>
      </c>
      <c r="J514" s="2" t="str">
        <f>IF(OR(ISERROR(G514),ISERROR(H514),ISERROR(I514)),"CORRUPT!","")</f>
        <v/>
      </c>
      <c r="K514" s="2" t="str">
        <f>IF(J514&lt;&gt;"","",MID(F514, G514+1, H514-G514-1))</f>
        <v>873</v>
      </c>
      <c r="L514" s="2">
        <f>IF(J514&lt;&gt;"","",LEN(K514))</f>
        <v>3</v>
      </c>
      <c r="M514" s="2" t="str">
        <f>IF(J514&lt;&gt;"","",MID(F514, H514+1, I514-H514-1))</f>
        <v>709</v>
      </c>
      <c r="N514" s="2">
        <f>IF(J514&lt;&gt;"","",LEN(M514))</f>
        <v>3</v>
      </c>
      <c r="O514" s="2">
        <f>IF(J514&lt;&gt;"","",K514*M514)</f>
        <v>618957</v>
      </c>
      <c r="R514" s="1" t="str">
        <v>522,233)([%select()</v>
      </c>
      <c r="S514" s="1" t="str">
        <v>442,620</v>
      </c>
      <c r="T514" s="1" t="str">
        <v>442</v>
      </c>
      <c r="U514" s="1" t="str">
        <v>620</v>
      </c>
      <c r="V514" s="1">
        <v>274040</v>
      </c>
    </row>
    <row r="515" spans="4:22" x14ac:dyDescent="0.3">
      <c r="D515" s="2">
        <v>512</v>
      </c>
      <c r="E515" s="2">
        <f>SEARCH("mul",$C$4,E514+1)</f>
        <v>12638</v>
      </c>
      <c r="F515" s="2" t="str">
        <f>MID($C$4,E515,$F$1)</f>
        <v>mul(121,496)why</v>
      </c>
      <c r="G515" s="3">
        <f>SEARCH("(",F515)</f>
        <v>4</v>
      </c>
      <c r="H515" s="3">
        <f>SEARCH(",",F515)</f>
        <v>8</v>
      </c>
      <c r="I515" s="3">
        <f>SEARCH(")",F515)</f>
        <v>12</v>
      </c>
      <c r="J515" s="2" t="str">
        <f>IF(OR(ISERROR(G515),ISERROR(H515),ISERROR(I515)),"CORRUPT!","")</f>
        <v/>
      </c>
      <c r="K515" s="2" t="str">
        <f>IF(J515&lt;&gt;"","",MID(F515, G515+1, H515-G515-1))</f>
        <v>121</v>
      </c>
      <c r="L515" s="2">
        <f>IF(J515&lt;&gt;"","",LEN(K515))</f>
        <v>3</v>
      </c>
      <c r="M515" s="2" t="str">
        <f>IF(J515&lt;&gt;"","",MID(F515, H515+1, I515-H515-1))</f>
        <v>496</v>
      </c>
      <c r="N515" s="2">
        <f>IF(J515&lt;&gt;"","",LEN(M515))</f>
        <v>3</v>
      </c>
      <c r="O515" s="2">
        <f>IF(J515&lt;&gt;"","",K515*M515)</f>
        <v>60016</v>
      </c>
      <c r="R515" s="1" t="str">
        <v>195,940)&amp;</v>
      </c>
      <c r="S515" s="1" t="str">
        <v>393,289</v>
      </c>
      <c r="T515" s="1" t="str">
        <v>393</v>
      </c>
      <c r="U515" s="1" t="str">
        <v>289</v>
      </c>
      <c r="V515" s="1">
        <v>113577</v>
      </c>
    </row>
    <row r="516" spans="4:22" x14ac:dyDescent="0.3">
      <c r="D516" s="2">
        <v>513</v>
      </c>
      <c r="E516" s="2">
        <f>SEARCH("mul",$C$4,E515+1)</f>
        <v>12674</v>
      </c>
      <c r="F516" s="2" t="str">
        <f>MID($C$4,E516,$F$1)</f>
        <v>mul(590,916)',/</v>
      </c>
      <c r="G516" s="3">
        <f>SEARCH("(",F516)</f>
        <v>4</v>
      </c>
      <c r="H516" s="3">
        <f>SEARCH(",",F516)</f>
        <v>8</v>
      </c>
      <c r="I516" s="3">
        <f>SEARCH(")",F516)</f>
        <v>12</v>
      </c>
      <c r="J516" s="2" t="str">
        <f>IF(OR(ISERROR(G516),ISERROR(H516),ISERROR(I516)),"CORRUPT!","")</f>
        <v/>
      </c>
      <c r="K516" s="2" t="str">
        <f>IF(J516&lt;&gt;"","",MID(F516, G516+1, H516-G516-1))</f>
        <v>590</v>
      </c>
      <c r="L516" s="2">
        <f>IF(J516&lt;&gt;"","",LEN(K516))</f>
        <v>3</v>
      </c>
      <c r="M516" s="2" t="str">
        <f>IF(J516&lt;&gt;"","",MID(F516, H516+1, I516-H516-1))</f>
        <v>916</v>
      </c>
      <c r="N516" s="2">
        <f>IF(J516&lt;&gt;"","",LEN(M516))</f>
        <v>3</v>
      </c>
      <c r="O516" s="2">
        <f>IF(J516&lt;&gt;"","",K516*M516)</f>
        <v>540440</v>
      </c>
      <c r="R516" s="1" t="str">
        <v>368,872)~}{who();!!&gt;^^</v>
      </c>
      <c r="S516" s="1" t="str">
        <v>848,511</v>
      </c>
      <c r="T516" s="1" t="str">
        <v>848</v>
      </c>
      <c r="U516" s="1" t="str">
        <v>511</v>
      </c>
      <c r="V516" s="1">
        <v>433328</v>
      </c>
    </row>
    <row r="517" spans="4:22" x14ac:dyDescent="0.3">
      <c r="D517" s="2">
        <v>514</v>
      </c>
      <c r="E517" s="2">
        <f>SEARCH("mul",$C$4,E516+1)</f>
        <v>12703</v>
      </c>
      <c r="F517" s="2" t="str">
        <f>MID($C$4,E517,$F$1)</f>
        <v>mul(477,943)whe</v>
      </c>
      <c r="G517" s="3">
        <f>SEARCH("(",F517)</f>
        <v>4</v>
      </c>
      <c r="H517" s="3">
        <f>SEARCH(",",F517)</f>
        <v>8</v>
      </c>
      <c r="I517" s="3">
        <f>SEARCH(")",F517)</f>
        <v>12</v>
      </c>
      <c r="J517" s="2" t="str">
        <f>IF(OR(ISERROR(G517),ISERROR(H517),ISERROR(I517)),"CORRUPT!","")</f>
        <v/>
      </c>
      <c r="K517" s="2" t="str">
        <f>IF(J517&lt;&gt;"","",MID(F517, G517+1, H517-G517-1))</f>
        <v>477</v>
      </c>
      <c r="L517" s="2">
        <f>IF(J517&lt;&gt;"","",LEN(K517))</f>
        <v>3</v>
      </c>
      <c r="M517" s="2" t="str">
        <f>IF(J517&lt;&gt;"","",MID(F517, H517+1, I517-H517-1))</f>
        <v>943</v>
      </c>
      <c r="N517" s="2">
        <f>IF(J517&lt;&gt;"","",LEN(M517))</f>
        <v>3</v>
      </c>
      <c r="O517" s="2">
        <f>IF(J517&lt;&gt;"","",K517*M517)</f>
        <v>449811</v>
      </c>
      <c r="R517" s="1" t="str">
        <v>920,394)^,select():?!%[</v>
      </c>
      <c r="S517" s="1" t="str">
        <v>290,212</v>
      </c>
      <c r="T517" s="1" t="str">
        <v>290</v>
      </c>
      <c r="U517" s="1" t="str">
        <v>212</v>
      </c>
      <c r="V517" s="1">
        <v>61480</v>
      </c>
    </row>
    <row r="518" spans="4:22" x14ac:dyDescent="0.3">
      <c r="D518" s="2">
        <v>515</v>
      </c>
      <c r="E518" s="2">
        <f>SEARCH("mul",$C$4,E517+1)</f>
        <v>12730</v>
      </c>
      <c r="F518" s="2" t="str">
        <f>MID($C$4,E518,$F$1)</f>
        <v>mul(654,383)sel</v>
      </c>
      <c r="G518" s="3">
        <f>SEARCH("(",F518)</f>
        <v>4</v>
      </c>
      <c r="H518" s="3">
        <f>SEARCH(",",F518)</f>
        <v>8</v>
      </c>
      <c r="I518" s="3">
        <f>SEARCH(")",F518)</f>
        <v>12</v>
      </c>
      <c r="J518" s="2" t="str">
        <f>IF(OR(ISERROR(G518),ISERROR(H518),ISERROR(I518)),"CORRUPT!","")</f>
        <v/>
      </c>
      <c r="K518" s="2" t="str">
        <f>IF(J518&lt;&gt;"","",MID(F518, G518+1, H518-G518-1))</f>
        <v>654</v>
      </c>
      <c r="L518" s="2">
        <f>IF(J518&lt;&gt;"","",LEN(K518))</f>
        <v>3</v>
      </c>
      <c r="M518" s="2" t="str">
        <f>IF(J518&lt;&gt;"","",MID(F518, H518+1, I518-H518-1))</f>
        <v>383</v>
      </c>
      <c r="N518" s="2">
        <f>IF(J518&lt;&gt;"","",LEN(M518))</f>
        <v>3</v>
      </c>
      <c r="O518" s="2">
        <f>IF(J518&lt;&gt;"","",K518*M518)</f>
        <v>250482</v>
      </c>
      <c r="R518" s="1" t="str">
        <v>477,578): what()~!/select())who()/</v>
      </c>
      <c r="S518" s="1" t="str">
        <v>150]*/&gt;who(</v>
      </c>
      <c r="T518" s="1" t="e">
        <v>#N/A</v>
      </c>
      <c r="U518" s="1" t="e">
        <v>#N/A</v>
      </c>
      <c r="V518" s="1">
        <v>0</v>
      </c>
    </row>
    <row r="519" spans="4:22" x14ac:dyDescent="0.3">
      <c r="D519" s="2">
        <v>516</v>
      </c>
      <c r="E519" s="2">
        <f>SEARCH("mul",$C$4,E518+1)</f>
        <v>12776</v>
      </c>
      <c r="F519" s="2" t="str">
        <f>MID($C$4,E519,$F$1)</f>
        <v>mul(433,312);//</v>
      </c>
      <c r="G519" s="3">
        <f>SEARCH("(",F519)</f>
        <v>4</v>
      </c>
      <c r="H519" s="3">
        <f>SEARCH(",",F519)</f>
        <v>8</v>
      </c>
      <c r="I519" s="3">
        <f>SEARCH(")",F519)</f>
        <v>12</v>
      </c>
      <c r="J519" s="2" t="str">
        <f>IF(OR(ISERROR(G519),ISERROR(H519),ISERROR(I519)),"CORRUPT!","")</f>
        <v/>
      </c>
      <c r="K519" s="2" t="str">
        <f>IF(J519&lt;&gt;"","",MID(F519, G519+1, H519-G519-1))</f>
        <v>433</v>
      </c>
      <c r="L519" s="2">
        <f>IF(J519&lt;&gt;"","",LEN(K519))</f>
        <v>3</v>
      </c>
      <c r="M519" s="2" t="str">
        <f>IF(J519&lt;&gt;"","",MID(F519, H519+1, I519-H519-1))</f>
        <v>312</v>
      </c>
      <c r="N519" s="2">
        <f>IF(J519&lt;&gt;"","",LEN(M519))</f>
        <v>3</v>
      </c>
      <c r="O519" s="2">
        <f>IF(J519&lt;&gt;"","",K519*M519)</f>
        <v>135096</v>
      </c>
      <c r="R519" s="1" t="str">
        <v>976,739)&gt;;who()who(43,925)&amp;when()&gt;&gt;;+</v>
      </c>
      <c r="S519" s="1" t="str">
        <v>289,261</v>
      </c>
      <c r="T519" s="1" t="str">
        <v>289</v>
      </c>
      <c r="U519" s="1" t="str">
        <v>261</v>
      </c>
      <c r="V519" s="1">
        <v>75429</v>
      </c>
    </row>
    <row r="520" spans="4:22" x14ac:dyDescent="0.3">
      <c r="D520" s="2">
        <v>517</v>
      </c>
      <c r="E520" s="2">
        <f>SEARCH("mul",$C$4,E519+1)</f>
        <v>12830</v>
      </c>
      <c r="F520" s="2" t="str">
        <f>MID($C$4,E520,$F$1)</f>
        <v>mul(512,521)%&gt;!</v>
      </c>
      <c r="G520" s="3">
        <f>SEARCH("(",F520)</f>
        <v>4</v>
      </c>
      <c r="H520" s="3">
        <f>SEARCH(",",F520)</f>
        <v>8</v>
      </c>
      <c r="I520" s="3">
        <f>SEARCH(")",F520)</f>
        <v>12</v>
      </c>
      <c r="J520" s="2" t="str">
        <f>IF(OR(ISERROR(G520),ISERROR(H520),ISERROR(I520)),"CORRUPT!","")</f>
        <v/>
      </c>
      <c r="K520" s="2" t="str">
        <f>IF(J520&lt;&gt;"","",MID(F520, G520+1, H520-G520-1))</f>
        <v>512</v>
      </c>
      <c r="L520" s="2">
        <f>IF(J520&lt;&gt;"","",LEN(K520))</f>
        <v>3</v>
      </c>
      <c r="M520" s="2" t="str">
        <f>IF(J520&lt;&gt;"","",MID(F520, H520+1, I520-H520-1))</f>
        <v>521</v>
      </c>
      <c r="N520" s="2">
        <f>IF(J520&lt;&gt;"","",LEN(M520))</f>
        <v>3</v>
      </c>
      <c r="O520" s="2">
        <f>IF(J520&lt;&gt;"","",K520*M520)</f>
        <v>266752</v>
      </c>
      <c r="R520" s="1" t="str">
        <v xml:space="preserve">857,247) </v>
      </c>
      <c r="S520" s="1" t="str">
        <v>307,698</v>
      </c>
      <c r="T520" s="1" t="str">
        <v>307</v>
      </c>
      <c r="U520" s="1" t="str">
        <v>698</v>
      </c>
      <c r="V520" s="1">
        <v>214286</v>
      </c>
    </row>
    <row r="521" spans="4:22" x14ac:dyDescent="0.3">
      <c r="D521" s="2">
        <v>518</v>
      </c>
      <c r="E521" s="2">
        <f>SEARCH("mul",$C$4,E520+1)</f>
        <v>12847</v>
      </c>
      <c r="F521" s="2" t="str">
        <f>MID($C$4,E521,$F$1)</f>
        <v>mul(532,452) +*</v>
      </c>
      <c r="G521" s="3">
        <f>SEARCH("(",F521)</f>
        <v>4</v>
      </c>
      <c r="H521" s="3">
        <f>SEARCH(",",F521)</f>
        <v>8</v>
      </c>
      <c r="I521" s="3">
        <f>SEARCH(")",F521)</f>
        <v>12</v>
      </c>
      <c r="J521" s="2" t="str">
        <f>IF(OR(ISERROR(G521),ISERROR(H521),ISERROR(I521)),"CORRUPT!","")</f>
        <v/>
      </c>
      <c r="K521" s="2" t="str">
        <f>IF(J521&lt;&gt;"","",MID(F521, G521+1, H521-G521-1))</f>
        <v>532</v>
      </c>
      <c r="L521" s="2">
        <f>IF(J521&lt;&gt;"","",LEN(K521))</f>
        <v>3</v>
      </c>
      <c r="M521" s="2" t="str">
        <f>IF(J521&lt;&gt;"","",MID(F521, H521+1, I521-H521-1))</f>
        <v>452</v>
      </c>
      <c r="N521" s="2">
        <f>IF(J521&lt;&gt;"","",LEN(M521))</f>
        <v>3</v>
      </c>
      <c r="O521" s="2">
        <f>IF(J521&lt;&gt;"","",K521*M521)</f>
        <v>240464</v>
      </c>
      <c r="R521" s="1" t="str">
        <v>442,620){;</v>
      </c>
      <c r="S521" s="1" t="str">
        <v>158,165</v>
      </c>
      <c r="T521" s="1" t="str">
        <v>158</v>
      </c>
      <c r="U521" s="1" t="str">
        <v>165</v>
      </c>
      <c r="V521" s="1">
        <v>26070</v>
      </c>
    </row>
    <row r="522" spans="4:22" x14ac:dyDescent="0.3">
      <c r="D522" s="2">
        <v>519</v>
      </c>
      <c r="E522" s="2">
        <f>SEARCH("mul",$C$4,E521+1)</f>
        <v>12865</v>
      </c>
      <c r="F522" s="2" t="str">
        <f>MID($C$4,E522,$F$1)</f>
        <v>mul(470,836why(</v>
      </c>
      <c r="G522" s="3">
        <f>SEARCH("(",F522)</f>
        <v>4</v>
      </c>
      <c r="H522" s="3">
        <f>SEARCH(",",F522)</f>
        <v>8</v>
      </c>
      <c r="I522" s="3" t="e">
        <f>SEARCH(")",F522)</f>
        <v>#VALUE!</v>
      </c>
      <c r="J522" s="2" t="str">
        <f>IF(OR(ISERROR(G522),ISERROR(H522),ISERROR(I522)),"CORRUPT!","")</f>
        <v>CORRUPT!</v>
      </c>
      <c r="K522" s="2" t="str">
        <f>IF(J522&lt;&gt;"","",MID(F522, G522+1, H522-G522-1))</f>
        <v/>
      </c>
      <c r="L522" s="2" t="str">
        <f>IF(J522&lt;&gt;"","",LEN(K522))</f>
        <v/>
      </c>
      <c r="M522" s="2" t="str">
        <f>IF(J522&lt;&gt;"","",MID(F522, H522+1, I522-H522-1))</f>
        <v/>
      </c>
      <c r="N522" s="2" t="str">
        <f>IF(J522&lt;&gt;"","",LEN(M522))</f>
        <v/>
      </c>
      <c r="O522" s="2" t="str">
        <f>IF(J522&lt;&gt;"","",K522*M522)</f>
        <v/>
      </c>
      <c r="R522" s="1" t="str">
        <v>393,289)-!*</v>
      </c>
      <c r="S522" s="1" t="str">
        <v>977,383</v>
      </c>
      <c r="T522" s="1" t="str">
        <v>977</v>
      </c>
      <c r="U522" s="1" t="str">
        <v>383</v>
      </c>
      <c r="V522" s="1">
        <v>374191</v>
      </c>
    </row>
    <row r="523" spans="4:22" x14ac:dyDescent="0.3">
      <c r="D523" s="2">
        <v>520</v>
      </c>
      <c r="E523" s="2">
        <f>SEARCH("mul",$C$4,E522+1)</f>
        <v>12931</v>
      </c>
      <c r="F523" s="2" t="str">
        <f>MID($C$4,E523,$F$1)</f>
        <v>mul(987,617)whe</v>
      </c>
      <c r="G523" s="3">
        <f>SEARCH("(",F523)</f>
        <v>4</v>
      </c>
      <c r="H523" s="3">
        <f>SEARCH(",",F523)</f>
        <v>8</v>
      </c>
      <c r="I523" s="3">
        <f>SEARCH(")",F523)</f>
        <v>12</v>
      </c>
      <c r="J523" s="2" t="str">
        <f>IF(OR(ISERROR(G523),ISERROR(H523),ISERROR(I523)),"CORRUPT!","")</f>
        <v/>
      </c>
      <c r="K523" s="2" t="str">
        <f>IF(J523&lt;&gt;"","",MID(F523, G523+1, H523-G523-1))</f>
        <v>987</v>
      </c>
      <c r="L523" s="2">
        <f>IF(J523&lt;&gt;"","",LEN(K523))</f>
        <v>3</v>
      </c>
      <c r="M523" s="2" t="str">
        <f>IF(J523&lt;&gt;"","",MID(F523, H523+1, I523-H523-1))</f>
        <v>617</v>
      </c>
      <c r="N523" s="2">
        <f>IF(J523&lt;&gt;"","",LEN(M523))</f>
        <v>3</v>
      </c>
      <c r="O523" s="2">
        <f>IF(J523&lt;&gt;"","",K523*M523)</f>
        <v>608979</v>
      </c>
      <c r="R523" s="1" t="str">
        <v>848,511)?how()}@</v>
      </c>
      <c r="S523" s="1" t="str">
        <v>188,493</v>
      </c>
      <c r="T523" s="1" t="str">
        <v>188</v>
      </c>
      <c r="U523" s="1" t="str">
        <v>493</v>
      </c>
      <c r="V523" s="1">
        <v>92684</v>
      </c>
    </row>
    <row r="524" spans="4:22" x14ac:dyDescent="0.3">
      <c r="D524" s="2">
        <v>521</v>
      </c>
      <c r="E524" s="2">
        <f>SEARCH("mul",$C$4,E523+1)</f>
        <v>12952</v>
      </c>
      <c r="F524" s="2" t="str">
        <f>MID($C$4,E524,$F$1)</f>
        <v>mul(85,662) sel</v>
      </c>
      <c r="G524" s="3">
        <f>SEARCH("(",F524)</f>
        <v>4</v>
      </c>
      <c r="H524" s="3">
        <f>SEARCH(",",F524)</f>
        <v>7</v>
      </c>
      <c r="I524" s="3">
        <f>SEARCH(")",F524)</f>
        <v>11</v>
      </c>
      <c r="J524" s="2" t="str">
        <f>IF(OR(ISERROR(G524),ISERROR(H524),ISERROR(I524)),"CORRUPT!","")</f>
        <v/>
      </c>
      <c r="K524" s="2" t="str">
        <f>IF(J524&lt;&gt;"","",MID(F524, G524+1, H524-G524-1))</f>
        <v>85</v>
      </c>
      <c r="L524" s="2">
        <f>IF(J524&lt;&gt;"","",LEN(K524))</f>
        <v>2</v>
      </c>
      <c r="M524" s="2" t="str">
        <f>IF(J524&lt;&gt;"","",MID(F524, H524+1, I524-H524-1))</f>
        <v>662</v>
      </c>
      <c r="N524" s="2">
        <f>IF(J524&lt;&gt;"","",LEN(M524))</f>
        <v>3</v>
      </c>
      <c r="O524" s="2">
        <f>IF(J524&lt;&gt;"","",K524*M524)</f>
        <v>56270</v>
      </c>
      <c r="R524" s="1" t="str">
        <v>290,212))(~+#~:</v>
      </c>
      <c r="S524" s="1" t="str">
        <v>566,212</v>
      </c>
      <c r="T524" s="1" t="str">
        <v>566</v>
      </c>
      <c r="U524" s="1" t="str">
        <v>212</v>
      </c>
      <c r="V524" s="1">
        <v>119992</v>
      </c>
    </row>
    <row r="525" spans="4:22" x14ac:dyDescent="0.3">
      <c r="D525" s="2">
        <v>522</v>
      </c>
      <c r="E525" s="2">
        <f>SEARCH("mul",$C$4,E524+1)</f>
        <v>12983</v>
      </c>
      <c r="F525" s="2" t="str">
        <f>MID($C$4,E525,$F$1)</f>
        <v>mul(469,324) se</v>
      </c>
      <c r="G525" s="3">
        <f>SEARCH("(",F525)</f>
        <v>4</v>
      </c>
      <c r="H525" s="3">
        <f>SEARCH(",",F525)</f>
        <v>8</v>
      </c>
      <c r="I525" s="3">
        <f>SEARCH(")",F525)</f>
        <v>12</v>
      </c>
      <c r="J525" s="2" t="str">
        <f>IF(OR(ISERROR(G525),ISERROR(H525),ISERROR(I525)),"CORRUPT!","")</f>
        <v/>
      </c>
      <c r="K525" s="2" t="str">
        <f>IF(J525&lt;&gt;"","",MID(F525, G525+1, H525-G525-1))</f>
        <v>469</v>
      </c>
      <c r="L525" s="2">
        <f>IF(J525&lt;&gt;"","",LEN(K525))</f>
        <v>3</v>
      </c>
      <c r="M525" s="2" t="str">
        <f>IF(J525&lt;&gt;"","",MID(F525, H525+1, I525-H525-1))</f>
        <v>324</v>
      </c>
      <c r="N525" s="2">
        <f>IF(J525&lt;&gt;"","",LEN(M525))</f>
        <v>3</v>
      </c>
      <c r="O525" s="2">
        <f>IF(J525&lt;&gt;"","",K525*M525)</f>
        <v>151956</v>
      </c>
      <c r="R525" s="1" t="str">
        <v>150]*/&gt;who()[&gt;?:&lt;</v>
      </c>
      <c r="S525" s="1" t="str">
        <v>644,488</v>
      </c>
      <c r="T525" s="1" t="str">
        <v>644</v>
      </c>
      <c r="U525" s="1" t="str">
        <v>488</v>
      </c>
      <c r="V525" s="1">
        <v>314272</v>
      </c>
    </row>
    <row r="526" spans="4:22" x14ac:dyDescent="0.3">
      <c r="D526" s="2">
        <v>523</v>
      </c>
      <c r="E526" s="2">
        <f>SEARCH("mul",$C$4,E525+1)</f>
        <v>13010</v>
      </c>
      <c r="F526" s="2" t="str">
        <f>MID($C$4,E526,$F$1)</f>
        <v>mul(891,321);'&amp;</v>
      </c>
      <c r="G526" s="3">
        <f>SEARCH("(",F526)</f>
        <v>4</v>
      </c>
      <c r="H526" s="3">
        <f>SEARCH(",",F526)</f>
        <v>8</v>
      </c>
      <c r="I526" s="3">
        <f>SEARCH(")",F526)</f>
        <v>12</v>
      </c>
      <c r="J526" s="2" t="str">
        <f>IF(OR(ISERROR(G526),ISERROR(H526),ISERROR(I526)),"CORRUPT!","")</f>
        <v/>
      </c>
      <c r="K526" s="2" t="str">
        <f>IF(J526&lt;&gt;"","",MID(F526, G526+1, H526-G526-1))</f>
        <v>891</v>
      </c>
      <c r="L526" s="2">
        <f>IF(J526&lt;&gt;"","",LEN(K526))</f>
        <v>3</v>
      </c>
      <c r="M526" s="2" t="str">
        <f>IF(J526&lt;&gt;"","",MID(F526, H526+1, I526-H526-1))</f>
        <v>321</v>
      </c>
      <c r="N526" s="2">
        <f>IF(J526&lt;&gt;"","",LEN(M526))</f>
        <v>3</v>
      </c>
      <c r="O526" s="2">
        <f>IF(J526&lt;&gt;"","",K526*M526)</f>
        <v>286011</v>
      </c>
      <c r="R526" s="1" t="str">
        <v>289,261)&gt;&lt;]*[;+what()where()</v>
      </c>
      <c r="S526" s="1" t="str">
        <v>113,502</v>
      </c>
      <c r="T526" s="1" t="str">
        <v>113</v>
      </c>
      <c r="U526" s="1" t="str">
        <v>502</v>
      </c>
      <c r="V526" s="1">
        <v>56726</v>
      </c>
    </row>
    <row r="527" spans="4:22" x14ac:dyDescent="0.3">
      <c r="D527" s="2">
        <v>524</v>
      </c>
      <c r="E527" s="2">
        <f>SEARCH("mul",$C$4,E526+1)</f>
        <v>13029</v>
      </c>
      <c r="F527" s="2" t="str">
        <f>MID($C$4,E527,$F$1)</f>
        <v>mul(792,73)$$[w</v>
      </c>
      <c r="G527" s="3">
        <f>SEARCH("(",F527)</f>
        <v>4</v>
      </c>
      <c r="H527" s="3">
        <f>SEARCH(",",F527)</f>
        <v>8</v>
      </c>
      <c r="I527" s="3">
        <f>SEARCH(")",F527)</f>
        <v>11</v>
      </c>
      <c r="J527" s="2" t="str">
        <f>IF(OR(ISERROR(G527),ISERROR(H527),ISERROR(I527)),"CORRUPT!","")</f>
        <v/>
      </c>
      <c r="K527" s="2" t="str">
        <f>IF(J527&lt;&gt;"","",MID(F527, G527+1, H527-G527-1))</f>
        <v>792</v>
      </c>
      <c r="L527" s="2">
        <f>IF(J527&lt;&gt;"","",LEN(K527))</f>
        <v>3</v>
      </c>
      <c r="M527" s="2" t="str">
        <f>IF(J527&lt;&gt;"","",MID(F527, H527+1, I527-H527-1))</f>
        <v>73</v>
      </c>
      <c r="N527" s="2">
        <f>IF(J527&lt;&gt;"","",LEN(M527))</f>
        <v>2</v>
      </c>
      <c r="O527" s="2">
        <f>IF(J527&lt;&gt;"","",K527*M527)</f>
        <v>57816</v>
      </c>
      <c r="R527" s="1" t="str">
        <v>307,698);;from()~%;where(84,170)[${</v>
      </c>
      <c r="S527" s="1" t="str">
        <v>306,625</v>
      </c>
      <c r="T527" s="1" t="str">
        <v>306</v>
      </c>
      <c r="U527" s="1" t="str">
        <v>625</v>
      </c>
      <c r="V527" s="1">
        <v>191250</v>
      </c>
    </row>
    <row r="528" spans="4:22" x14ac:dyDescent="0.3">
      <c r="D528" s="2">
        <v>525</v>
      </c>
      <c r="E528" s="2">
        <f>SEARCH("mul",$C$4,E527+1)</f>
        <v>13058</v>
      </c>
      <c r="F528" s="2" t="str">
        <f>MID($C$4,E528,$F$1)</f>
        <v>mul&gt;why()?how()</v>
      </c>
      <c r="G528" s="3">
        <f>SEARCH("(",F528)</f>
        <v>8</v>
      </c>
      <c r="H528" s="3" t="e">
        <f>SEARCH(",",F528)</f>
        <v>#VALUE!</v>
      </c>
      <c r="I528" s="3">
        <f>SEARCH(")",F528)</f>
        <v>9</v>
      </c>
      <c r="J528" s="2" t="str">
        <f>IF(OR(ISERROR(G528),ISERROR(H528),ISERROR(I528)),"CORRUPT!","")</f>
        <v>CORRUPT!</v>
      </c>
      <c r="K528" s="2" t="str">
        <f>IF(J528&lt;&gt;"","",MID(F528, G528+1, H528-G528-1))</f>
        <v/>
      </c>
      <c r="L528" s="2" t="str">
        <f>IF(J528&lt;&gt;"","",LEN(K528))</f>
        <v/>
      </c>
      <c r="M528" s="2" t="str">
        <f>IF(J528&lt;&gt;"","",MID(F528, H528+1, I528-H528-1))</f>
        <v/>
      </c>
      <c r="N528" s="2" t="str">
        <f>IF(J528&lt;&gt;"","",LEN(M528))</f>
        <v/>
      </c>
      <c r="O528" s="2" t="str">
        <f>IF(J528&lt;&gt;"","",K528*M528)</f>
        <v/>
      </c>
      <c r="R528" s="1" t="str">
        <v>158,165):[what()^select()</v>
      </c>
      <c r="S528" s="1" t="str">
        <v>418,801</v>
      </c>
      <c r="T528" s="1" t="str">
        <v>418</v>
      </c>
      <c r="U528" s="1" t="str">
        <v>801</v>
      </c>
      <c r="V528" s="1">
        <v>334818</v>
      </c>
    </row>
    <row r="529" spans="4:22" x14ac:dyDescent="0.3">
      <c r="D529" s="2">
        <v>526</v>
      </c>
      <c r="E529" s="2">
        <f>SEARCH("mul",$C$4,E528+1)</f>
        <v>13073</v>
      </c>
      <c r="F529" s="2" t="str">
        <f>MID($C$4,E529,$F$1)</f>
        <v>mul(522,233)([%</v>
      </c>
      <c r="G529" s="3">
        <f>SEARCH("(",F529)</f>
        <v>4</v>
      </c>
      <c r="H529" s="3">
        <f>SEARCH(",",F529)</f>
        <v>8</v>
      </c>
      <c r="I529" s="3">
        <f>SEARCH(")",F529)</f>
        <v>12</v>
      </c>
      <c r="J529" s="2" t="str">
        <f>IF(OR(ISERROR(G529),ISERROR(H529),ISERROR(I529)),"CORRUPT!","")</f>
        <v/>
      </c>
      <c r="K529" s="2" t="str">
        <f>IF(J529&lt;&gt;"","",MID(F529, G529+1, H529-G529-1))</f>
        <v>522</v>
      </c>
      <c r="L529" s="2">
        <f>IF(J529&lt;&gt;"","",LEN(K529))</f>
        <v>3</v>
      </c>
      <c r="M529" s="2" t="str">
        <f>IF(J529&lt;&gt;"","",MID(F529, H529+1, I529-H529-1))</f>
        <v>233</v>
      </c>
      <c r="N529" s="2">
        <f>IF(J529&lt;&gt;"","",LEN(M529))</f>
        <v>3</v>
      </c>
      <c r="O529" s="2">
        <f>IF(J529&lt;&gt;"","",K529*M529)</f>
        <v>121626</v>
      </c>
      <c r="R529" s="1" t="str">
        <v>977,383)'*@&lt;! )</v>
      </c>
      <c r="S529" s="1" t="str">
        <v>920,657</v>
      </c>
      <c r="T529" s="1" t="str">
        <v>920</v>
      </c>
      <c r="U529" s="1" t="str">
        <v>657</v>
      </c>
      <c r="V529" s="1">
        <v>604440</v>
      </c>
    </row>
    <row r="530" spans="4:22" x14ac:dyDescent="0.3">
      <c r="D530" s="2">
        <v>527</v>
      </c>
      <c r="E530" s="2">
        <f>SEARCH("mul",$C$4,E529+1)</f>
        <v>13096</v>
      </c>
      <c r="F530" s="2" t="str">
        <f>MID($C$4,E530,$F$1)</f>
        <v>mul(195,940)&amp;mu</v>
      </c>
      <c r="G530" s="3">
        <f>SEARCH("(",F530)</f>
        <v>4</v>
      </c>
      <c r="H530" s="3">
        <f>SEARCH(",",F530)</f>
        <v>8</v>
      </c>
      <c r="I530" s="3">
        <f>SEARCH(")",F530)</f>
        <v>12</v>
      </c>
      <c r="J530" s="2" t="str">
        <f>IF(OR(ISERROR(G530),ISERROR(H530),ISERROR(I530)),"CORRUPT!","")</f>
        <v/>
      </c>
      <c r="K530" s="2" t="str">
        <f>IF(J530&lt;&gt;"","",MID(F530, G530+1, H530-G530-1))</f>
        <v>195</v>
      </c>
      <c r="L530" s="2">
        <f>IF(J530&lt;&gt;"","",LEN(K530))</f>
        <v>3</v>
      </c>
      <c r="M530" s="2" t="str">
        <f>IF(J530&lt;&gt;"","",MID(F530, H530+1, I530-H530-1))</f>
        <v>940</v>
      </c>
      <c r="N530" s="2">
        <f>IF(J530&lt;&gt;"","",LEN(M530))</f>
        <v>3</v>
      </c>
      <c r="O530" s="2">
        <f>IF(J530&lt;&gt;"","",K530*M530)</f>
        <v>183300</v>
      </c>
      <c r="R530" s="1" t="str">
        <v>188,493)</v>
      </c>
      <c r="S530" s="1" t="str">
        <v>816,293</v>
      </c>
      <c r="T530" s="1" t="str">
        <v>816</v>
      </c>
      <c r="U530" s="1" t="str">
        <v>293</v>
      </c>
      <c r="V530" s="1">
        <v>239088</v>
      </c>
    </row>
    <row r="531" spans="4:22" x14ac:dyDescent="0.3">
      <c r="D531" s="2">
        <v>528</v>
      </c>
      <c r="E531" s="2">
        <f>SEARCH("mul",$C$4,E530+1)</f>
        <v>13109</v>
      </c>
      <c r="F531" s="2" t="str">
        <f>MID($C$4,E531,$F$1)</f>
        <v>mul(368,872)~}{</v>
      </c>
      <c r="G531" s="3">
        <f>SEARCH("(",F531)</f>
        <v>4</v>
      </c>
      <c r="H531" s="3">
        <f>SEARCH(",",F531)</f>
        <v>8</v>
      </c>
      <c r="I531" s="3">
        <f>SEARCH(")",F531)</f>
        <v>12</v>
      </c>
      <c r="J531" s="2" t="str">
        <f>IF(OR(ISERROR(G531),ISERROR(H531),ISERROR(I531)),"CORRUPT!","")</f>
        <v/>
      </c>
      <c r="K531" s="2" t="str">
        <f>IF(J531&lt;&gt;"","",MID(F531, G531+1, H531-G531-1))</f>
        <v>368</v>
      </c>
      <c r="L531" s="2">
        <f>IF(J531&lt;&gt;"","",LEN(K531))</f>
        <v>3</v>
      </c>
      <c r="M531" s="2" t="str">
        <f>IF(J531&lt;&gt;"","",MID(F531, H531+1, I531-H531-1))</f>
        <v>872</v>
      </c>
      <c r="N531" s="2">
        <f>IF(J531&lt;&gt;"","",LEN(M531))</f>
        <v>3</v>
      </c>
      <c r="O531" s="2">
        <f>IF(J531&lt;&gt;"","",K531*M531)</f>
        <v>320896</v>
      </c>
      <c r="R531" s="1" t="str">
        <v>566,212)&amp;,who()]do()</v>
      </c>
      <c r="S531" s="1" t="str">
        <v>420,667</v>
      </c>
      <c r="T531" s="1" t="str">
        <v>420</v>
      </c>
      <c r="U531" s="1" t="str">
        <v>667</v>
      </c>
      <c r="V531" s="1">
        <v>280140</v>
      </c>
    </row>
    <row r="532" spans="4:22" x14ac:dyDescent="0.3">
      <c r="D532" s="2">
        <v>529</v>
      </c>
      <c r="E532" s="2">
        <f>SEARCH("mul",$C$4,E531+1)</f>
        <v>13135</v>
      </c>
      <c r="F532" s="2" t="str">
        <f>MID($C$4,E532,$F$1)</f>
        <v>mul(920,394)^,s</v>
      </c>
      <c r="G532" s="3">
        <f>SEARCH("(",F532)</f>
        <v>4</v>
      </c>
      <c r="H532" s="3">
        <f>SEARCH(",",F532)</f>
        <v>8</v>
      </c>
      <c r="I532" s="3">
        <f>SEARCH(")",F532)</f>
        <v>12</v>
      </c>
      <c r="J532" s="2" t="str">
        <f>IF(OR(ISERROR(G532),ISERROR(H532),ISERROR(I532)),"CORRUPT!","")</f>
        <v/>
      </c>
      <c r="K532" s="2" t="str">
        <f>IF(J532&lt;&gt;"","",MID(F532, G532+1, H532-G532-1))</f>
        <v>920</v>
      </c>
      <c r="L532" s="2">
        <f>IF(J532&lt;&gt;"","",LEN(K532))</f>
        <v>3</v>
      </c>
      <c r="M532" s="2" t="str">
        <f>IF(J532&lt;&gt;"","",MID(F532, H532+1, I532-H532-1))</f>
        <v>394</v>
      </c>
      <c r="N532" s="2">
        <f>IF(J532&lt;&gt;"","",LEN(M532))</f>
        <v>3</v>
      </c>
      <c r="O532" s="2">
        <f>IF(J532&lt;&gt;"","",K532*M532)</f>
        <v>362480</v>
      </c>
      <c r="R532" s="1" t="str">
        <v>644,488)how())+]~who()where()</v>
      </c>
      <c r="S532" s="1" t="str">
        <v>402,31</v>
      </c>
      <c r="T532" s="1" t="str">
        <v>402</v>
      </c>
      <c r="U532" s="1" t="str">
        <v>31</v>
      </c>
      <c r="V532" s="1">
        <v>12462</v>
      </c>
    </row>
    <row r="533" spans="4:22" x14ac:dyDescent="0.3">
      <c r="D533" s="2">
        <v>530</v>
      </c>
      <c r="E533" s="2">
        <f>SEARCH("mul",$C$4,E532+1)</f>
        <v>13162</v>
      </c>
      <c r="F533" s="2" t="str">
        <f>MID($C$4,E533,$F$1)</f>
        <v>mul(477,578): w</v>
      </c>
      <c r="G533" s="3">
        <f>SEARCH("(",F533)</f>
        <v>4</v>
      </c>
      <c r="H533" s="3">
        <f>SEARCH(",",F533)</f>
        <v>8</v>
      </c>
      <c r="I533" s="3">
        <f>SEARCH(")",F533)</f>
        <v>12</v>
      </c>
      <c r="J533" s="2" t="str">
        <f>IF(OR(ISERROR(G533),ISERROR(H533),ISERROR(I533)),"CORRUPT!","")</f>
        <v/>
      </c>
      <c r="K533" s="2" t="str">
        <f>IF(J533&lt;&gt;"","",MID(F533, G533+1, H533-G533-1))</f>
        <v>477</v>
      </c>
      <c r="L533" s="2">
        <f>IF(J533&lt;&gt;"","",LEN(K533))</f>
        <v>3</v>
      </c>
      <c r="M533" s="2" t="str">
        <f>IF(J533&lt;&gt;"","",MID(F533, H533+1, I533-H533-1))</f>
        <v>578</v>
      </c>
      <c r="N533" s="2">
        <f>IF(J533&lt;&gt;"","",LEN(M533))</f>
        <v>3</v>
      </c>
      <c r="O533" s="2">
        <f>IF(J533&lt;&gt;"","",K533*M533)</f>
        <v>275706</v>
      </c>
      <c r="R533" s="1" t="str">
        <v>113,502)</v>
      </c>
      <c r="S533" s="1" t="str">
        <v>272,313</v>
      </c>
      <c r="T533" s="1" t="str">
        <v>272</v>
      </c>
      <c r="U533" s="1" t="str">
        <v>313</v>
      </c>
      <c r="V533" s="1">
        <v>85136</v>
      </c>
    </row>
    <row r="534" spans="4:22" x14ac:dyDescent="0.3">
      <c r="D534" s="2">
        <v>531</v>
      </c>
      <c r="E534" s="2">
        <f>SEARCH("mul",$C$4,E533+1)</f>
        <v>13200</v>
      </c>
      <c r="F534" s="2" t="str">
        <f>MID($C$4,E534,$F$1)</f>
        <v>mul(976,739)&gt;;w</v>
      </c>
      <c r="G534" s="3">
        <f>SEARCH("(",F534)</f>
        <v>4</v>
      </c>
      <c r="H534" s="3">
        <f>SEARCH(",",F534)</f>
        <v>8</v>
      </c>
      <c r="I534" s="3">
        <f>SEARCH(")",F534)</f>
        <v>12</v>
      </c>
      <c r="J534" s="2" t="str">
        <f>IF(OR(ISERROR(G534),ISERROR(H534),ISERROR(I534)),"CORRUPT!","")</f>
        <v/>
      </c>
      <c r="K534" s="2" t="str">
        <f>IF(J534&lt;&gt;"","",MID(F534, G534+1, H534-G534-1))</f>
        <v>976</v>
      </c>
      <c r="L534" s="2">
        <f>IF(J534&lt;&gt;"","",LEN(K534))</f>
        <v>3</v>
      </c>
      <c r="M534" s="2" t="str">
        <f>IF(J534&lt;&gt;"","",MID(F534, H534+1, I534-H534-1))</f>
        <v>739</v>
      </c>
      <c r="N534" s="2">
        <f>IF(J534&lt;&gt;"","",LEN(M534))</f>
        <v>3</v>
      </c>
      <c r="O534" s="2">
        <f>IF(J534&lt;&gt;"","",K534*M534)</f>
        <v>721264</v>
      </c>
      <c r="R534" s="1" t="str">
        <v>306,625),] ;/#&amp;$;who()</v>
      </c>
      <c r="S534" s="1" t="str">
        <v>161,164</v>
      </c>
      <c r="T534" s="1" t="str">
        <v>161</v>
      </c>
      <c r="U534" s="1" t="str">
        <v>164</v>
      </c>
      <c r="V534" s="1">
        <v>26404</v>
      </c>
    </row>
    <row r="535" spans="4:22" x14ac:dyDescent="0.3">
      <c r="D535" s="2">
        <v>532</v>
      </c>
      <c r="E535" s="2">
        <f>SEARCH("mul",$C$4,E534+1)</f>
        <v>13241</v>
      </c>
      <c r="F535" s="2" t="str">
        <f>MID($C$4,E535,$F$1)</f>
        <v>mul(857,247) mu</v>
      </c>
      <c r="G535" s="3">
        <f>SEARCH("(",F535)</f>
        <v>4</v>
      </c>
      <c r="H535" s="3">
        <f>SEARCH(",",F535)</f>
        <v>8</v>
      </c>
      <c r="I535" s="3">
        <f>SEARCH(")",F535)</f>
        <v>12</v>
      </c>
      <c r="J535" s="2" t="str">
        <f>IF(OR(ISERROR(G535),ISERROR(H535),ISERROR(I535)),"CORRUPT!","")</f>
        <v/>
      </c>
      <c r="K535" s="2" t="str">
        <f>IF(J535&lt;&gt;"","",MID(F535, G535+1, H535-G535-1))</f>
        <v>857</v>
      </c>
      <c r="L535" s="2">
        <f>IF(J535&lt;&gt;"","",LEN(K535))</f>
        <v>3</v>
      </c>
      <c r="M535" s="2" t="str">
        <f>IF(J535&lt;&gt;"","",MID(F535, H535+1, I535-H535-1))</f>
        <v>247</v>
      </c>
      <c r="N535" s="2">
        <f>IF(J535&lt;&gt;"","",LEN(M535))</f>
        <v>3</v>
      </c>
      <c r="O535" s="2">
        <f>IF(J535&lt;&gt;"","",K535*M535)</f>
        <v>211679</v>
      </c>
      <c r="R535" s="1" t="str">
        <v>418,801)#&gt;&gt;/;:</v>
      </c>
      <c r="S535" s="1" t="str">
        <v>718,501</v>
      </c>
      <c r="T535" s="1" t="str">
        <v>718</v>
      </c>
      <c r="U535" s="1" t="str">
        <v>501</v>
      </c>
      <c r="V535" s="1">
        <v>359718</v>
      </c>
    </row>
    <row r="536" spans="4:22" x14ac:dyDescent="0.3">
      <c r="D536" s="2">
        <v>533</v>
      </c>
      <c r="E536" s="2">
        <f>SEARCH("mul",$C$4,E535+1)</f>
        <v>13254</v>
      </c>
      <c r="F536" s="2" t="str">
        <f>MID($C$4,E536,$F$1)</f>
        <v>mul(442,620){;m</v>
      </c>
      <c r="G536" s="3">
        <f>SEARCH("(",F536)</f>
        <v>4</v>
      </c>
      <c r="H536" s="3">
        <f>SEARCH(",",F536)</f>
        <v>8</v>
      </c>
      <c r="I536" s="3">
        <f>SEARCH(")",F536)</f>
        <v>12</v>
      </c>
      <c r="J536" s="2" t="str">
        <f>IF(OR(ISERROR(G536),ISERROR(H536),ISERROR(I536)),"CORRUPT!","")</f>
        <v/>
      </c>
      <c r="K536" s="2" t="str">
        <f>IF(J536&lt;&gt;"","",MID(F536, G536+1, H536-G536-1))</f>
        <v>442</v>
      </c>
      <c r="L536" s="2">
        <f>IF(J536&lt;&gt;"","",LEN(K536))</f>
        <v>3</v>
      </c>
      <c r="M536" s="2" t="str">
        <f>IF(J536&lt;&gt;"","",MID(F536, H536+1, I536-H536-1))</f>
        <v>620</v>
      </c>
      <c r="N536" s="2">
        <f>IF(J536&lt;&gt;"","",LEN(M536))</f>
        <v>3</v>
      </c>
      <c r="O536" s="2">
        <f>IF(J536&lt;&gt;"","",K536*M536)</f>
        <v>274040</v>
      </c>
      <c r="R536" s="1" t="str">
        <v>920,657)*how()when()</v>
      </c>
      <c r="S536" s="1" t="str">
        <v>960,325</v>
      </c>
      <c r="T536" s="1" t="str">
        <v>960</v>
      </c>
      <c r="U536" s="1" t="str">
        <v>325</v>
      </c>
      <c r="V536" s="1">
        <v>312000</v>
      </c>
    </row>
    <row r="537" spans="4:22" x14ac:dyDescent="0.3">
      <c r="D537" s="2">
        <v>534</v>
      </c>
      <c r="E537" s="2">
        <f>SEARCH("mul",$C$4,E536+1)</f>
        <v>13268</v>
      </c>
      <c r="F537" s="2" t="str">
        <f>MID($C$4,E537,$F$1)</f>
        <v>mul(393,289)-!*</v>
      </c>
      <c r="G537" s="3">
        <f>SEARCH("(",F537)</f>
        <v>4</v>
      </c>
      <c r="H537" s="3">
        <f>SEARCH(",",F537)</f>
        <v>8</v>
      </c>
      <c r="I537" s="3">
        <f>SEARCH(")",F537)</f>
        <v>12</v>
      </c>
      <c r="J537" s="2" t="str">
        <f>IF(OR(ISERROR(G537),ISERROR(H537),ISERROR(I537)),"CORRUPT!","")</f>
        <v/>
      </c>
      <c r="K537" s="2" t="str">
        <f>IF(J537&lt;&gt;"","",MID(F537, G537+1, H537-G537-1))</f>
        <v>393</v>
      </c>
      <c r="L537" s="2">
        <f>IF(J537&lt;&gt;"","",LEN(K537))</f>
        <v>3</v>
      </c>
      <c r="M537" s="2" t="str">
        <f>IF(J537&lt;&gt;"","",MID(F537, H537+1, I537-H537-1))</f>
        <v>289</v>
      </c>
      <c r="N537" s="2">
        <f>IF(J537&lt;&gt;"","",LEN(M537))</f>
        <v>3</v>
      </c>
      <c r="O537" s="2">
        <f>IF(J537&lt;&gt;"","",K537*M537)</f>
        <v>113577</v>
      </c>
      <c r="R537" s="1" t="str">
        <v>816,293)select()~$+^+</v>
      </c>
      <c r="S537" s="1" t="str">
        <v>615,493</v>
      </c>
      <c r="T537" s="1" t="str">
        <v>615</v>
      </c>
      <c r="U537" s="1" t="str">
        <v>493</v>
      </c>
      <c r="V537" s="1">
        <v>303195</v>
      </c>
    </row>
    <row r="538" spans="4:22" x14ac:dyDescent="0.3">
      <c r="D538" s="2">
        <v>535</v>
      </c>
      <c r="E538" s="2">
        <f>SEARCH("mul",$C$4,E537+1)</f>
        <v>13283</v>
      </c>
      <c r="F538" s="2" t="str">
        <f>MID($C$4,E538,$F$1)</f>
        <v>mul(848,511)?ho</v>
      </c>
      <c r="G538" s="3">
        <f>SEARCH("(",F538)</f>
        <v>4</v>
      </c>
      <c r="H538" s="3">
        <f>SEARCH(",",F538)</f>
        <v>8</v>
      </c>
      <c r="I538" s="3">
        <f>SEARCH(")",F538)</f>
        <v>12</v>
      </c>
      <c r="J538" s="2" t="str">
        <f>IF(OR(ISERROR(G538),ISERROR(H538),ISERROR(I538)),"CORRUPT!","")</f>
        <v/>
      </c>
      <c r="K538" s="2" t="str">
        <f>IF(J538&lt;&gt;"","",MID(F538, G538+1, H538-G538-1))</f>
        <v>848</v>
      </c>
      <c r="L538" s="2">
        <f>IF(J538&lt;&gt;"","",LEN(K538))</f>
        <v>3</v>
      </c>
      <c r="M538" s="2" t="str">
        <f>IF(J538&lt;&gt;"","",MID(F538, H538+1, I538-H538-1))</f>
        <v>511</v>
      </c>
      <c r="N538" s="2">
        <f>IF(J538&lt;&gt;"","",LEN(M538))</f>
        <v>3</v>
      </c>
      <c r="O538" s="2">
        <f>IF(J538&lt;&gt;"","",K538*M538)</f>
        <v>433328</v>
      </c>
      <c r="R538" s="1" t="str">
        <v>420,667);(^where());&lt;from()[,do()'where()/!where()&amp;?when()&gt;</v>
      </c>
      <c r="S538" s="1" t="str">
        <v>905,145</v>
      </c>
      <c r="T538" s="1" t="str">
        <v>905</v>
      </c>
      <c r="U538" s="1" t="str">
        <v>145</v>
      </c>
      <c r="V538" s="1">
        <v>131225</v>
      </c>
    </row>
    <row r="539" spans="4:22" x14ac:dyDescent="0.3">
      <c r="D539" s="2">
        <v>536</v>
      </c>
      <c r="E539" s="2">
        <f>SEARCH("mul",$C$4,E538+1)</f>
        <v>13303</v>
      </c>
      <c r="F539" s="2" t="str">
        <f>MID($C$4,E539,$F$1)</f>
        <v>mul(290,212))(~</v>
      </c>
      <c r="G539" s="3">
        <f>SEARCH("(",F539)</f>
        <v>4</v>
      </c>
      <c r="H539" s="3">
        <f>SEARCH(",",F539)</f>
        <v>8</v>
      </c>
      <c r="I539" s="3">
        <f>SEARCH(")",F539)</f>
        <v>12</v>
      </c>
      <c r="J539" s="2" t="str">
        <f>IF(OR(ISERROR(G539),ISERROR(H539),ISERROR(I539)),"CORRUPT!","")</f>
        <v/>
      </c>
      <c r="K539" s="2" t="str">
        <f>IF(J539&lt;&gt;"","",MID(F539, G539+1, H539-G539-1))</f>
        <v>290</v>
      </c>
      <c r="L539" s="2">
        <f>IF(J539&lt;&gt;"","",LEN(K539))</f>
        <v>3</v>
      </c>
      <c r="M539" s="2" t="str">
        <f>IF(J539&lt;&gt;"","",MID(F539, H539+1, I539-H539-1))</f>
        <v>212</v>
      </c>
      <c r="N539" s="2">
        <f>IF(J539&lt;&gt;"","",LEN(M539))</f>
        <v>3</v>
      </c>
      <c r="O539" s="2">
        <f>IF(J539&lt;&gt;"","",K539*M539)</f>
        <v>61480</v>
      </c>
      <c r="R539" s="1" t="str">
        <v>402,31)]</v>
      </c>
      <c r="S539" s="1" t="str">
        <v>260,136</v>
      </c>
      <c r="T539" s="1" t="str">
        <v>260</v>
      </c>
      <c r="U539" s="1" t="str">
        <v>136</v>
      </c>
      <c r="V539" s="1">
        <v>35360</v>
      </c>
    </row>
    <row r="540" spans="4:22" x14ac:dyDescent="0.3">
      <c r="D540" s="2">
        <v>537</v>
      </c>
      <c r="E540" s="2">
        <f>SEARCH("mul",$C$4,E539+1)</f>
        <v>13322</v>
      </c>
      <c r="F540" s="2" t="str">
        <f>MID($C$4,E540,$F$1)</f>
        <v>mul(150]*/&gt;who(</v>
      </c>
      <c r="G540" s="3">
        <f>SEARCH("(",F540)</f>
        <v>4</v>
      </c>
      <c r="H540" s="3" t="e">
        <f>SEARCH(",",F540)</f>
        <v>#VALUE!</v>
      </c>
      <c r="I540" s="3" t="e">
        <f>SEARCH(")",F540)</f>
        <v>#VALUE!</v>
      </c>
      <c r="J540" s="2" t="str">
        <f>IF(OR(ISERROR(G540),ISERROR(H540),ISERROR(I540)),"CORRUPT!","")</f>
        <v>CORRUPT!</v>
      </c>
      <c r="K540" s="2" t="str">
        <f>IF(J540&lt;&gt;"","",MID(F540, G540+1, H540-G540-1))</f>
        <v/>
      </c>
      <c r="L540" s="2" t="str">
        <f>IF(J540&lt;&gt;"","",LEN(K540))</f>
        <v/>
      </c>
      <c r="M540" s="2" t="str">
        <f>IF(J540&lt;&gt;"","",MID(F540, H540+1, I540-H540-1))</f>
        <v/>
      </c>
      <c r="N540" s="2" t="str">
        <f>IF(J540&lt;&gt;"","",LEN(M540))</f>
        <v/>
      </c>
      <c r="O540" s="2" t="str">
        <f>IF(J540&lt;&gt;"","",K540*M540)</f>
        <v/>
      </c>
      <c r="R540" s="1" t="str">
        <v>272,313)^&gt;</v>
      </c>
      <c r="S540" s="1" t="str">
        <v>380,442</v>
      </c>
      <c r="T540" s="1" t="str">
        <v>380</v>
      </c>
      <c r="U540" s="1" t="str">
        <v>442</v>
      </c>
      <c r="V540" s="1">
        <v>167960</v>
      </c>
    </row>
    <row r="541" spans="4:22" x14ac:dyDescent="0.3">
      <c r="D541" s="2">
        <v>538</v>
      </c>
      <c r="E541" s="2">
        <f>SEARCH("mul",$C$4,E540+1)</f>
        <v>13343</v>
      </c>
      <c r="F541" s="2" t="str">
        <f>MID($C$4,E541,$F$1)</f>
        <v>mul(289,261)&gt;&lt;]</v>
      </c>
      <c r="G541" s="3">
        <f>SEARCH("(",F541)</f>
        <v>4</v>
      </c>
      <c r="H541" s="3">
        <f>SEARCH(",",F541)</f>
        <v>8</v>
      </c>
      <c r="I541" s="3">
        <f>SEARCH(")",F541)</f>
        <v>12</v>
      </c>
      <c r="J541" s="2" t="str">
        <f>IF(OR(ISERROR(G541),ISERROR(H541),ISERROR(I541)),"CORRUPT!","")</f>
        <v/>
      </c>
      <c r="K541" s="2" t="str">
        <f>IF(J541&lt;&gt;"","",MID(F541, G541+1, H541-G541-1))</f>
        <v>289</v>
      </c>
      <c r="L541" s="2">
        <f>IF(J541&lt;&gt;"","",LEN(K541))</f>
        <v>3</v>
      </c>
      <c r="M541" s="2" t="str">
        <f>IF(J541&lt;&gt;"","",MID(F541, H541+1, I541-H541-1))</f>
        <v>261</v>
      </c>
      <c r="N541" s="2">
        <f>IF(J541&lt;&gt;"","",LEN(M541))</f>
        <v>3</v>
      </c>
      <c r="O541" s="2">
        <f>IF(J541&lt;&gt;"","",K541*M541)</f>
        <v>75429</v>
      </c>
      <c r="R541" s="1" t="str">
        <v>161,164)@$&lt;mulfrom()$when()&lt;</v>
      </c>
      <c r="S541" s="1" t="str">
        <v>209/%(&gt;,how(</v>
      </c>
      <c r="T541" s="1" t="str">
        <v>209/%(&gt;</v>
      </c>
      <c r="U541" s="1" t="str">
        <v>how(</v>
      </c>
      <c r="V541" s="1">
        <v>0</v>
      </c>
    </row>
    <row r="542" spans="4:22" x14ac:dyDescent="0.3">
      <c r="D542" s="2">
        <v>539</v>
      </c>
      <c r="E542" s="2">
        <f>SEARCH("mul",$C$4,E541+1)</f>
        <v>13375</v>
      </c>
      <c r="F542" s="2" t="str">
        <f>MID($C$4,E542,$F$1)</f>
        <v>mul(307,698);;f</v>
      </c>
      <c r="G542" s="3">
        <f>SEARCH("(",F542)</f>
        <v>4</v>
      </c>
      <c r="H542" s="3">
        <f>SEARCH(",",F542)</f>
        <v>8</v>
      </c>
      <c r="I542" s="3">
        <f>SEARCH(")",F542)</f>
        <v>12</v>
      </c>
      <c r="J542" s="2" t="str">
        <f>IF(OR(ISERROR(G542),ISERROR(H542),ISERROR(I542)),"CORRUPT!","")</f>
        <v/>
      </c>
      <c r="K542" s="2" t="str">
        <f>IF(J542&lt;&gt;"","",MID(F542, G542+1, H542-G542-1))</f>
        <v>307</v>
      </c>
      <c r="L542" s="2">
        <f>IF(J542&lt;&gt;"","",LEN(K542))</f>
        <v>3</v>
      </c>
      <c r="M542" s="2" t="str">
        <f>IF(J542&lt;&gt;"","",MID(F542, H542+1, I542-H542-1))</f>
        <v>698</v>
      </c>
      <c r="N542" s="2">
        <f>IF(J542&lt;&gt;"","",LEN(M542))</f>
        <v>3</v>
      </c>
      <c r="O542" s="2">
        <f>IF(J542&lt;&gt;"","",K542*M542)</f>
        <v>214286</v>
      </c>
      <c r="R542" s="1" t="str">
        <v>718,501)+-who()</v>
      </c>
      <c r="S542" s="1" t="str">
        <v>423,410</v>
      </c>
      <c r="T542" s="1" t="str">
        <v>423</v>
      </c>
      <c r="U542" s="1" t="str">
        <v>410</v>
      </c>
      <c r="V542" s="1">
        <v>173430</v>
      </c>
    </row>
    <row r="543" spans="4:22" x14ac:dyDescent="0.3">
      <c r="D543" s="2">
        <v>540</v>
      </c>
      <c r="E543" s="2">
        <f>SEARCH("mul",$C$4,E542+1)</f>
        <v>13414</v>
      </c>
      <c r="F543" s="2" t="str">
        <f>MID($C$4,E543,$F$1)</f>
        <v>mul(158,165):[w</v>
      </c>
      <c r="G543" s="3">
        <f>SEARCH("(",F543)</f>
        <v>4</v>
      </c>
      <c r="H543" s="3">
        <f>SEARCH(",",F543)</f>
        <v>8</v>
      </c>
      <c r="I543" s="3">
        <f>SEARCH(")",F543)</f>
        <v>12</v>
      </c>
      <c r="J543" s="2" t="str">
        <f>IF(OR(ISERROR(G543),ISERROR(H543),ISERROR(I543)),"CORRUPT!","")</f>
        <v/>
      </c>
      <c r="K543" s="2" t="str">
        <f>IF(J543&lt;&gt;"","",MID(F543, G543+1, H543-G543-1))</f>
        <v>158</v>
      </c>
      <c r="L543" s="2">
        <f>IF(J543&lt;&gt;"","",LEN(K543))</f>
        <v>3</v>
      </c>
      <c r="M543" s="2" t="str">
        <f>IF(J543&lt;&gt;"","",MID(F543, H543+1, I543-H543-1))</f>
        <v>165</v>
      </c>
      <c r="N543" s="2">
        <f>IF(J543&lt;&gt;"","",LEN(M543))</f>
        <v>3</v>
      </c>
      <c r="O543" s="2">
        <f>IF(J543&lt;&gt;"","",K543*M543)</f>
        <v>26070</v>
      </c>
      <c r="R543" s="1" t="str">
        <v>960,325);who()&amp;{?</v>
      </c>
      <c r="S543" s="1" t="str">
        <v>381,141</v>
      </c>
      <c r="T543" s="1" t="str">
        <v>381</v>
      </c>
      <c r="U543" s="1" t="str">
        <v>141</v>
      </c>
      <c r="V543" s="1">
        <v>53721</v>
      </c>
    </row>
    <row r="544" spans="4:22" x14ac:dyDescent="0.3">
      <c r="D544" s="2">
        <v>541</v>
      </c>
      <c r="E544" s="2">
        <f>SEARCH("mul",$C$4,E543+1)</f>
        <v>13443</v>
      </c>
      <c r="F544" s="2" t="str">
        <f>MID($C$4,E544,$F$1)</f>
        <v>mul(977,383)'*@</v>
      </c>
      <c r="G544" s="3">
        <f>SEARCH("(",F544)</f>
        <v>4</v>
      </c>
      <c r="H544" s="3">
        <f>SEARCH(",",F544)</f>
        <v>8</v>
      </c>
      <c r="I544" s="3">
        <f>SEARCH(")",F544)</f>
        <v>12</v>
      </c>
      <c r="J544" s="2" t="str">
        <f>IF(OR(ISERROR(G544),ISERROR(H544),ISERROR(I544)),"CORRUPT!","")</f>
        <v/>
      </c>
      <c r="K544" s="2" t="str">
        <f>IF(J544&lt;&gt;"","",MID(F544, G544+1, H544-G544-1))</f>
        <v>977</v>
      </c>
      <c r="L544" s="2">
        <f>IF(J544&lt;&gt;"","",LEN(K544))</f>
        <v>3</v>
      </c>
      <c r="M544" s="2" t="str">
        <f>IF(J544&lt;&gt;"","",MID(F544, H544+1, I544-H544-1))</f>
        <v>383</v>
      </c>
      <c r="N544" s="2">
        <f>IF(J544&lt;&gt;"","",LEN(M544))</f>
        <v>3</v>
      </c>
      <c r="O544" s="2">
        <f>IF(J544&lt;&gt;"","",K544*M544)</f>
        <v>374191</v>
      </c>
      <c r="R544" s="1" t="str">
        <v>615,493)select(){]when())#{from(465,35)</v>
      </c>
      <c r="S544" s="1" t="str">
        <v>674,158</v>
      </c>
      <c r="T544" s="1" t="str">
        <v>674</v>
      </c>
      <c r="U544" s="1" t="str">
        <v>158</v>
      </c>
      <c r="V544" s="1">
        <v>106492</v>
      </c>
    </row>
    <row r="545" spans="4:22" x14ac:dyDescent="0.3">
      <c r="D545" s="2">
        <v>542</v>
      </c>
      <c r="E545" s="2">
        <f>SEARCH("mul",$C$4,E544+1)</f>
        <v>13462</v>
      </c>
      <c r="F545" s="2" t="str">
        <f>MID($C$4,E545,$F$1)</f>
        <v>mul(188,493)mul</v>
      </c>
      <c r="G545" s="3">
        <f>SEARCH("(",F545)</f>
        <v>4</v>
      </c>
      <c r="H545" s="3">
        <f>SEARCH(",",F545)</f>
        <v>8</v>
      </c>
      <c r="I545" s="3">
        <f>SEARCH(")",F545)</f>
        <v>12</v>
      </c>
      <c r="J545" s="2" t="str">
        <f>IF(OR(ISERROR(G545),ISERROR(H545),ISERROR(I545)),"CORRUPT!","")</f>
        <v/>
      </c>
      <c r="K545" s="2" t="str">
        <f>IF(J545&lt;&gt;"","",MID(F545, G545+1, H545-G545-1))</f>
        <v>188</v>
      </c>
      <c r="L545" s="2">
        <f>IF(J545&lt;&gt;"","",LEN(K545))</f>
        <v>3</v>
      </c>
      <c r="M545" s="2" t="str">
        <f>IF(J545&lt;&gt;"","",MID(F545, H545+1, I545-H545-1))</f>
        <v>493</v>
      </c>
      <c r="N545" s="2">
        <f>IF(J545&lt;&gt;"","",LEN(M545))</f>
        <v>3</v>
      </c>
      <c r="O545" s="2">
        <f>IF(J545&lt;&gt;"","",K545*M545)</f>
        <v>92684</v>
      </c>
      <c r="R545" s="1" t="str">
        <v>905,145){[,&amp;&gt;$</v>
      </c>
      <c r="S545" s="1" t="str">
        <v>74,315</v>
      </c>
      <c r="T545" s="1" t="str">
        <v>74</v>
      </c>
      <c r="U545" s="1" t="str">
        <v>315</v>
      </c>
      <c r="V545" s="1">
        <v>23310</v>
      </c>
    </row>
    <row r="546" spans="4:22" x14ac:dyDescent="0.3">
      <c r="D546" s="2">
        <v>543</v>
      </c>
      <c r="E546" s="2">
        <f>SEARCH("mul",$C$4,E545+1)</f>
        <v>13474</v>
      </c>
      <c r="F546" s="2" t="str">
        <f>MID($C$4,E546,$F$1)</f>
        <v>mul(566,212)&amp;,w</v>
      </c>
      <c r="G546" s="3">
        <f>SEARCH("(",F546)</f>
        <v>4</v>
      </c>
      <c r="H546" s="3">
        <f>SEARCH(",",F546)</f>
        <v>8</v>
      </c>
      <c r="I546" s="3">
        <f>SEARCH(")",F546)</f>
        <v>12</v>
      </c>
      <c r="J546" s="2" t="str">
        <f>IF(OR(ISERROR(G546),ISERROR(H546),ISERROR(I546)),"CORRUPT!","")</f>
        <v/>
      </c>
      <c r="K546" s="2" t="str">
        <f>IF(J546&lt;&gt;"","",MID(F546, G546+1, H546-G546-1))</f>
        <v>566</v>
      </c>
      <c r="L546" s="2">
        <f>IF(J546&lt;&gt;"","",LEN(K546))</f>
        <v>3</v>
      </c>
      <c r="M546" s="2" t="str">
        <f>IF(J546&lt;&gt;"","",MID(F546, H546+1, I546-H546-1))</f>
        <v>212</v>
      </c>
      <c r="N546" s="2">
        <f>IF(J546&lt;&gt;"","",LEN(M546))</f>
        <v>3</v>
      </c>
      <c r="O546" s="2">
        <f>IF(J546&lt;&gt;"","",K546*M546)</f>
        <v>119992</v>
      </c>
      <c r="R546" s="1" t="str">
        <v>260,136)&amp;@}* &gt; -</v>
      </c>
      <c r="S546" s="1" t="str">
        <v>341,503</v>
      </c>
      <c r="T546" s="1" t="str">
        <v>341</v>
      </c>
      <c r="U546" s="1" t="str">
        <v>503</v>
      </c>
      <c r="V546" s="1">
        <v>171523</v>
      </c>
    </row>
    <row r="547" spans="4:22" x14ac:dyDescent="0.3">
      <c r="D547" s="2">
        <v>544</v>
      </c>
      <c r="E547" s="2">
        <f>SEARCH("mul",$C$4,E546+1)</f>
        <v>13498</v>
      </c>
      <c r="F547" s="2" t="str">
        <f>MID($C$4,E547,$F$1)</f>
        <v>mul(644,488)how</v>
      </c>
      <c r="G547" s="3">
        <f>SEARCH("(",F547)</f>
        <v>4</v>
      </c>
      <c r="H547" s="3">
        <f>SEARCH(",",F547)</f>
        <v>8</v>
      </c>
      <c r="I547" s="3">
        <f>SEARCH(")",F547)</f>
        <v>12</v>
      </c>
      <c r="J547" s="2" t="str">
        <f>IF(OR(ISERROR(G547),ISERROR(H547),ISERROR(I547)),"CORRUPT!","")</f>
        <v/>
      </c>
      <c r="K547" s="2" t="str">
        <f>IF(J547&lt;&gt;"","",MID(F547, G547+1, H547-G547-1))</f>
        <v>644</v>
      </c>
      <c r="L547" s="2">
        <f>IF(J547&lt;&gt;"","",LEN(K547))</f>
        <v>3</v>
      </c>
      <c r="M547" s="2" t="str">
        <f>IF(J547&lt;&gt;"","",MID(F547, H547+1, I547-H547-1))</f>
        <v>488</v>
      </c>
      <c r="N547" s="2">
        <f>IF(J547&lt;&gt;"","",LEN(M547))</f>
        <v>3</v>
      </c>
      <c r="O547" s="2">
        <f>IF(J547&lt;&gt;"","",K547*M547)</f>
        <v>314272</v>
      </c>
      <c r="R547" s="1" t="str">
        <v>380,442)^#*!don't())?(;@</v>
      </c>
      <c r="S547" s="1" t="str">
        <v>624,435</v>
      </c>
      <c r="T547" s="1" t="str">
        <v>624</v>
      </c>
      <c r="U547" s="1" t="str">
        <v>435</v>
      </c>
      <c r="V547" s="1">
        <v>271440</v>
      </c>
    </row>
    <row r="548" spans="4:22" x14ac:dyDescent="0.3">
      <c r="D548" s="2">
        <v>545</v>
      </c>
      <c r="E548" s="2">
        <f>SEARCH("mul",$C$4,E547+1)</f>
        <v>13531</v>
      </c>
      <c r="F548" s="2" t="str">
        <f>MID($C$4,E548,$F$1)</f>
        <v>mul(113,502)mul</v>
      </c>
      <c r="G548" s="3">
        <f>SEARCH("(",F548)</f>
        <v>4</v>
      </c>
      <c r="H548" s="3">
        <f>SEARCH(",",F548)</f>
        <v>8</v>
      </c>
      <c r="I548" s="3">
        <f>SEARCH(")",F548)</f>
        <v>12</v>
      </c>
      <c r="J548" s="2" t="str">
        <f>IF(OR(ISERROR(G548),ISERROR(H548),ISERROR(I548)),"CORRUPT!","")</f>
        <v/>
      </c>
      <c r="K548" s="2" t="str">
        <f>IF(J548&lt;&gt;"","",MID(F548, G548+1, H548-G548-1))</f>
        <v>113</v>
      </c>
      <c r="L548" s="2">
        <f>IF(J548&lt;&gt;"","",LEN(K548))</f>
        <v>3</v>
      </c>
      <c r="M548" s="2" t="str">
        <f>IF(J548&lt;&gt;"","",MID(F548, H548+1, I548-H548-1))</f>
        <v>502</v>
      </c>
      <c r="N548" s="2">
        <f>IF(J548&lt;&gt;"","",LEN(M548))</f>
        <v>3</v>
      </c>
      <c r="O548" s="2">
        <f>IF(J548&lt;&gt;"","",K548*M548)</f>
        <v>56726</v>
      </c>
      <c r="R548" s="1" t="str">
        <v>209/%(&gt;,how()^</v>
      </c>
      <c r="S548" s="1" t="str">
        <v>880,482</v>
      </c>
      <c r="T548" s="1" t="str">
        <v>880</v>
      </c>
      <c r="U548" s="1" t="str">
        <v>482</v>
      </c>
      <c r="V548" s="1">
        <v>424160</v>
      </c>
    </row>
    <row r="549" spans="4:22" x14ac:dyDescent="0.3">
      <c r="D549" s="2">
        <v>546</v>
      </c>
      <c r="E549" s="2">
        <f>SEARCH("mul",$C$4,E548+1)</f>
        <v>13543</v>
      </c>
      <c r="F549" s="2" t="str">
        <f>MID($C$4,E549,$F$1)</f>
        <v xml:space="preserve">mul(306,625),] </v>
      </c>
      <c r="G549" s="3">
        <f>SEARCH("(",F549)</f>
        <v>4</v>
      </c>
      <c r="H549" s="3">
        <f>SEARCH(",",F549)</f>
        <v>8</v>
      </c>
      <c r="I549" s="3">
        <f>SEARCH(")",F549)</f>
        <v>12</v>
      </c>
      <c r="J549" s="2" t="str">
        <f>IF(OR(ISERROR(G549),ISERROR(H549),ISERROR(I549)),"CORRUPT!","")</f>
        <v/>
      </c>
      <c r="K549" s="2" t="str">
        <f>IF(J549&lt;&gt;"","",MID(F549, G549+1, H549-G549-1))</f>
        <v>306</v>
      </c>
      <c r="L549" s="2">
        <f>IF(J549&lt;&gt;"","",LEN(K549))</f>
        <v>3</v>
      </c>
      <c r="M549" s="2" t="str">
        <f>IF(J549&lt;&gt;"","",MID(F549, H549+1, I549-H549-1))</f>
        <v>625</v>
      </c>
      <c r="N549" s="2">
        <f>IF(J549&lt;&gt;"","",LEN(M549))</f>
        <v>3</v>
      </c>
      <c r="O549" s="2">
        <f>IF(J549&lt;&gt;"","",K549*M549)</f>
        <v>191250</v>
      </c>
      <c r="R549" s="1" t="str">
        <v>423,410)from()-</v>
      </c>
      <c r="S549" s="1" t="str">
        <v>367,134</v>
      </c>
      <c r="T549" s="1" t="str">
        <v>367</v>
      </c>
      <c r="U549" s="1" t="str">
        <v>134</v>
      </c>
      <c r="V549" s="1">
        <v>49178</v>
      </c>
    </row>
    <row r="550" spans="4:22" x14ac:dyDescent="0.3">
      <c r="D550" s="2">
        <v>547</v>
      </c>
      <c r="E550" s="2">
        <f>SEARCH("mul",$C$4,E549+1)</f>
        <v>13569</v>
      </c>
      <c r="F550" s="2" t="str">
        <f>MID($C$4,E550,$F$1)</f>
        <v>mul(418,801)#&gt;&gt;</v>
      </c>
      <c r="G550" s="3">
        <f>SEARCH("(",F550)</f>
        <v>4</v>
      </c>
      <c r="H550" s="3">
        <f>SEARCH(",",F550)</f>
        <v>8</v>
      </c>
      <c r="I550" s="3">
        <f>SEARCH(")",F550)</f>
        <v>12</v>
      </c>
      <c r="J550" s="2" t="str">
        <f>IF(OR(ISERROR(G550),ISERROR(H550),ISERROR(I550)),"CORRUPT!","")</f>
        <v/>
      </c>
      <c r="K550" s="2" t="str">
        <f>IF(J550&lt;&gt;"","",MID(F550, G550+1, H550-G550-1))</f>
        <v>418</v>
      </c>
      <c r="L550" s="2">
        <f>IF(J550&lt;&gt;"","",LEN(K550))</f>
        <v>3</v>
      </c>
      <c r="M550" s="2" t="str">
        <f>IF(J550&lt;&gt;"","",MID(F550, H550+1, I550-H550-1))</f>
        <v>801</v>
      </c>
      <c r="N550" s="2">
        <f>IF(J550&lt;&gt;"","",LEN(M550))</f>
        <v>3</v>
      </c>
      <c r="O550" s="2">
        <f>IF(J550&lt;&gt;"","",K550*M550)</f>
        <v>334818</v>
      </c>
      <c r="R550" s="1" t="str">
        <v>381,141)+~-)</v>
      </c>
      <c r="S550" s="1" t="str">
        <v>166,251</v>
      </c>
      <c r="T550" s="1" t="str">
        <v>166</v>
      </c>
      <c r="U550" s="1" t="str">
        <v>251</v>
      </c>
      <c r="V550" s="1">
        <v>41666</v>
      </c>
    </row>
    <row r="551" spans="4:22" x14ac:dyDescent="0.3">
      <c r="D551" s="2">
        <v>548</v>
      </c>
      <c r="E551" s="2">
        <f>SEARCH("mul",$C$4,E550+1)</f>
        <v>13587</v>
      </c>
      <c r="F551" s="2" t="str">
        <f>MID($C$4,E551,$F$1)</f>
        <v>mul(920,657)*ho</v>
      </c>
      <c r="G551" s="3">
        <f>SEARCH("(",F551)</f>
        <v>4</v>
      </c>
      <c r="H551" s="3">
        <f>SEARCH(",",F551)</f>
        <v>8</v>
      </c>
      <c r="I551" s="3">
        <f>SEARCH(")",F551)</f>
        <v>12</v>
      </c>
      <c r="J551" s="2" t="str">
        <f>IF(OR(ISERROR(G551),ISERROR(H551),ISERROR(I551)),"CORRUPT!","")</f>
        <v/>
      </c>
      <c r="K551" s="2" t="str">
        <f>IF(J551&lt;&gt;"","",MID(F551, G551+1, H551-G551-1))</f>
        <v>920</v>
      </c>
      <c r="L551" s="2">
        <f>IF(J551&lt;&gt;"","",LEN(K551))</f>
        <v>3</v>
      </c>
      <c r="M551" s="2" t="str">
        <f>IF(J551&lt;&gt;"","",MID(F551, H551+1, I551-H551-1))</f>
        <v>657</v>
      </c>
      <c r="N551" s="2">
        <f>IF(J551&lt;&gt;"","",LEN(M551))</f>
        <v>3</v>
      </c>
      <c r="O551" s="2">
        <f>IF(J551&lt;&gt;"","",K551*M551)</f>
        <v>604440</v>
      </c>
      <c r="R551" s="1" t="str">
        <v>674,158)^:what()&gt;(^)who()mul*^,</v>
      </c>
      <c r="S551" s="1" t="str">
        <v>610,271</v>
      </c>
      <c r="T551" s="1" t="str">
        <v>610</v>
      </c>
      <c r="U551" s="1" t="str">
        <v>271</v>
      </c>
      <c r="V551" s="1">
        <v>165310</v>
      </c>
    </row>
    <row r="552" spans="4:22" x14ac:dyDescent="0.3">
      <c r="D552" s="2">
        <v>549</v>
      </c>
      <c r="E552" s="2">
        <f>SEARCH("mul",$C$4,E551+1)</f>
        <v>13611</v>
      </c>
      <c r="F552" s="2" t="str">
        <f>MID($C$4,E552,$F$1)</f>
        <v>mul(816,293)sel</v>
      </c>
      <c r="G552" s="3">
        <f>SEARCH("(",F552)</f>
        <v>4</v>
      </c>
      <c r="H552" s="3">
        <f>SEARCH(",",F552)</f>
        <v>8</v>
      </c>
      <c r="I552" s="3">
        <f>SEARCH(")",F552)</f>
        <v>12</v>
      </c>
      <c r="J552" s="2" t="str">
        <f>IF(OR(ISERROR(G552),ISERROR(H552),ISERROR(I552)),"CORRUPT!","")</f>
        <v/>
      </c>
      <c r="K552" s="2" t="str">
        <f>IF(J552&lt;&gt;"","",MID(F552, G552+1, H552-G552-1))</f>
        <v>816</v>
      </c>
      <c r="L552" s="2">
        <f>IF(J552&lt;&gt;"","",LEN(K552))</f>
        <v>3</v>
      </c>
      <c r="M552" s="2" t="str">
        <f>IF(J552&lt;&gt;"","",MID(F552, H552+1, I552-H552-1))</f>
        <v>293</v>
      </c>
      <c r="N552" s="2">
        <f>IF(J552&lt;&gt;"","",LEN(M552))</f>
        <v>3</v>
      </c>
      <c r="O552" s="2">
        <f>IF(J552&lt;&gt;"","",K552*M552)</f>
        <v>239088</v>
      </c>
      <c r="R552" s="1" t="str">
        <v>74,315)!-),</v>
      </c>
      <c r="S552" s="1" t="str">
        <v>455,461</v>
      </c>
      <c r="T552" s="1" t="str">
        <v>455</v>
      </c>
      <c r="U552" s="1" t="str">
        <v>461</v>
      </c>
      <c r="V552" s="1">
        <v>209755</v>
      </c>
    </row>
    <row r="553" spans="4:22" x14ac:dyDescent="0.3">
      <c r="D553" s="2">
        <v>550</v>
      </c>
      <c r="E553" s="2">
        <f>SEARCH("mul",$C$4,E552+1)</f>
        <v>13636</v>
      </c>
      <c r="F553" s="2" t="str">
        <f>MID($C$4,E553,$F$1)</f>
        <v>mul(420,667);(^</v>
      </c>
      <c r="G553" s="3">
        <f>SEARCH("(",F553)</f>
        <v>4</v>
      </c>
      <c r="H553" s="3">
        <f>SEARCH(",",F553)</f>
        <v>8</v>
      </c>
      <c r="I553" s="3">
        <f>SEARCH(")",F553)</f>
        <v>12</v>
      </c>
      <c r="J553" s="2" t="str">
        <f>IF(OR(ISERROR(G553),ISERROR(H553),ISERROR(I553)),"CORRUPT!","")</f>
        <v/>
      </c>
      <c r="K553" s="2" t="str">
        <f>IF(J553&lt;&gt;"","",MID(F553, G553+1, H553-G553-1))</f>
        <v>420</v>
      </c>
      <c r="L553" s="2">
        <f>IF(J553&lt;&gt;"","",LEN(K553))</f>
        <v>3</v>
      </c>
      <c r="M553" s="2" t="str">
        <f>IF(J553&lt;&gt;"","",MID(F553, H553+1, I553-H553-1))</f>
        <v>667</v>
      </c>
      <c r="N553" s="2">
        <f>IF(J553&lt;&gt;"","",LEN(M553))</f>
        <v>3</v>
      </c>
      <c r="O553" s="2">
        <f>IF(J553&lt;&gt;"","",K553*M553)</f>
        <v>280140</v>
      </c>
      <c r="R553" s="1" t="str">
        <v>341,503)where()/;*)why()),what()&amp;</v>
      </c>
      <c r="S553" s="1" t="str">
        <v>232,944</v>
      </c>
      <c r="T553" s="1" t="str">
        <v>232</v>
      </c>
      <c r="U553" s="1" t="str">
        <v>944</v>
      </c>
      <c r="V553" s="1">
        <v>219008</v>
      </c>
    </row>
    <row r="554" spans="4:22" x14ac:dyDescent="0.3">
      <c r="D554" s="2">
        <v>551</v>
      </c>
      <c r="E554" s="2">
        <f>SEARCH("mul",$C$4,E553+1)</f>
        <v>13699</v>
      </c>
      <c r="F554" s="2" t="str">
        <f>MID($C$4,E554,$F$1)</f>
        <v>mul(402,31)]mul</v>
      </c>
      <c r="G554" s="3">
        <f>SEARCH("(",F554)</f>
        <v>4</v>
      </c>
      <c r="H554" s="3">
        <f>SEARCH(",",F554)</f>
        <v>8</v>
      </c>
      <c r="I554" s="3">
        <f>SEARCH(")",F554)</f>
        <v>11</v>
      </c>
      <c r="J554" s="2" t="str">
        <f>IF(OR(ISERROR(G554),ISERROR(H554),ISERROR(I554)),"CORRUPT!","")</f>
        <v/>
      </c>
      <c r="K554" s="2" t="str">
        <f>IF(J554&lt;&gt;"","",MID(F554, G554+1, H554-G554-1))</f>
        <v>402</v>
      </c>
      <c r="L554" s="2">
        <f>IF(J554&lt;&gt;"","",LEN(K554))</f>
        <v>3</v>
      </c>
      <c r="M554" s="2" t="str">
        <f>IF(J554&lt;&gt;"","",MID(F554, H554+1, I554-H554-1))</f>
        <v>31</v>
      </c>
      <c r="N554" s="2">
        <f>IF(J554&lt;&gt;"","",LEN(M554))</f>
        <v>2</v>
      </c>
      <c r="O554" s="2">
        <f>IF(J554&lt;&gt;"","",K554*M554)</f>
        <v>12462</v>
      </c>
      <c r="R554" s="1" t="str">
        <v>624,435)</v>
      </c>
      <c r="S554" s="1" t="str">
        <v>523,215</v>
      </c>
      <c r="T554" s="1" t="str">
        <v>523</v>
      </c>
      <c r="U554" s="1" t="str">
        <v>215</v>
      </c>
      <c r="V554" s="1">
        <v>112445</v>
      </c>
    </row>
    <row r="555" spans="4:22" x14ac:dyDescent="0.3">
      <c r="D555" s="2">
        <v>552</v>
      </c>
      <c r="E555" s="2">
        <f>SEARCH("mul",$C$4,E554+1)</f>
        <v>13711</v>
      </c>
      <c r="F555" s="2" t="str">
        <f>MID($C$4,E555,$F$1)</f>
        <v>mul(272,313)^&gt;m</v>
      </c>
      <c r="G555" s="3">
        <f>SEARCH("(",F555)</f>
        <v>4</v>
      </c>
      <c r="H555" s="3">
        <f>SEARCH(",",F555)</f>
        <v>8</v>
      </c>
      <c r="I555" s="3">
        <f>SEARCH(")",F555)</f>
        <v>12</v>
      </c>
      <c r="J555" s="2" t="str">
        <f>IF(OR(ISERROR(G555),ISERROR(H555),ISERROR(I555)),"CORRUPT!","")</f>
        <v/>
      </c>
      <c r="K555" s="2" t="str">
        <f>IF(J555&lt;&gt;"","",MID(F555, G555+1, H555-G555-1))</f>
        <v>272</v>
      </c>
      <c r="L555" s="2">
        <f>IF(J555&lt;&gt;"","",LEN(K555))</f>
        <v>3</v>
      </c>
      <c r="M555" s="2" t="str">
        <f>IF(J555&lt;&gt;"","",MID(F555, H555+1, I555-H555-1))</f>
        <v>313</v>
      </c>
      <c r="N555" s="2">
        <f>IF(J555&lt;&gt;"","",LEN(M555))</f>
        <v>3</v>
      </c>
      <c r="O555" s="2">
        <f>IF(J555&lt;&gt;"","",K555*M555)</f>
        <v>85136</v>
      </c>
      <c r="R555" s="1" t="str">
        <v>880,482)}where():&lt;select():^&gt;]why()</v>
      </c>
      <c r="S555" s="1" t="str">
        <v>876,836</v>
      </c>
      <c r="T555" s="1" t="str">
        <v>876</v>
      </c>
      <c r="U555" s="1" t="str">
        <v>836</v>
      </c>
      <c r="V555" s="1">
        <v>732336</v>
      </c>
    </row>
    <row r="556" spans="4:22" x14ac:dyDescent="0.3">
      <c r="D556" s="2">
        <v>553</v>
      </c>
      <c r="E556" s="2">
        <f>SEARCH("mul",$C$4,E555+1)</f>
        <v>13725</v>
      </c>
      <c r="F556" s="2" t="str">
        <f>MID($C$4,E556,$F$1)</f>
        <v>mul(161,164)@$&lt;</v>
      </c>
      <c r="G556" s="3">
        <f>SEARCH("(",F556)</f>
        <v>4</v>
      </c>
      <c r="H556" s="3">
        <f>SEARCH(",",F556)</f>
        <v>8</v>
      </c>
      <c r="I556" s="3">
        <f>SEARCH(")",F556)</f>
        <v>12</v>
      </c>
      <c r="J556" s="2" t="str">
        <f>IF(OR(ISERROR(G556),ISERROR(H556),ISERROR(I556)),"CORRUPT!","")</f>
        <v/>
      </c>
      <c r="K556" s="2" t="str">
        <f>IF(J556&lt;&gt;"","",MID(F556, G556+1, H556-G556-1))</f>
        <v>161</v>
      </c>
      <c r="L556" s="2">
        <f>IF(J556&lt;&gt;"","",LEN(K556))</f>
        <v>3</v>
      </c>
      <c r="M556" s="2" t="str">
        <f>IF(J556&lt;&gt;"","",MID(F556, H556+1, I556-H556-1))</f>
        <v>164</v>
      </c>
      <c r="N556" s="2">
        <f>IF(J556&lt;&gt;"","",LEN(M556))</f>
        <v>3</v>
      </c>
      <c r="O556" s="2">
        <f>IF(J556&lt;&gt;"","",K556*M556)</f>
        <v>26404</v>
      </c>
      <c r="R556" s="1" t="str">
        <v>367,134)when()(when()</v>
      </c>
      <c r="S556" s="1" t="str">
        <v>335,254</v>
      </c>
      <c r="T556" s="1" t="str">
        <v>335</v>
      </c>
      <c r="U556" s="1" t="str">
        <v>254</v>
      </c>
      <c r="V556" s="1">
        <v>85090</v>
      </c>
    </row>
    <row r="557" spans="4:22" x14ac:dyDescent="0.3">
      <c r="D557" s="2">
        <v>554</v>
      </c>
      <c r="E557" s="2">
        <f>SEARCH("mul",$C$4,E556+1)</f>
        <v>13740</v>
      </c>
      <c r="F557" s="2" t="str">
        <f>MID($C$4,E557,$F$1)</f>
        <v>mulfrom()$when(</v>
      </c>
      <c r="G557" s="3">
        <f>SEARCH("(",F557)</f>
        <v>8</v>
      </c>
      <c r="H557" s="3" t="e">
        <f>SEARCH(",",F557)</f>
        <v>#VALUE!</v>
      </c>
      <c r="I557" s="3">
        <f>SEARCH(")",F557)</f>
        <v>9</v>
      </c>
      <c r="J557" s="2" t="str">
        <f>IF(OR(ISERROR(G557),ISERROR(H557),ISERROR(I557)),"CORRUPT!","")</f>
        <v>CORRUPT!</v>
      </c>
      <c r="K557" s="2" t="str">
        <f>IF(J557&lt;&gt;"","",MID(F557, G557+1, H557-G557-1))</f>
        <v/>
      </c>
      <c r="L557" s="2" t="str">
        <f>IF(J557&lt;&gt;"","",LEN(K557))</f>
        <v/>
      </c>
      <c r="M557" s="2" t="str">
        <f>IF(J557&lt;&gt;"","",MID(F557, H557+1, I557-H557-1))</f>
        <v/>
      </c>
      <c r="N557" s="2" t="str">
        <f>IF(J557&lt;&gt;"","",LEN(M557))</f>
        <v/>
      </c>
      <c r="O557" s="2" t="str">
        <f>IF(J557&lt;&gt;"","",K557*M557)</f>
        <v/>
      </c>
      <c r="R557" s="1" t="str">
        <v>166,251)@+,who(),</v>
      </c>
      <c r="S557" s="1" t="str">
        <v>153,522</v>
      </c>
      <c r="T557" s="1" t="str">
        <v>153</v>
      </c>
      <c r="U557" s="1" t="str">
        <v>522</v>
      </c>
      <c r="V557" s="1">
        <v>79866</v>
      </c>
    </row>
    <row r="558" spans="4:22" x14ac:dyDescent="0.3">
      <c r="D558" s="2">
        <v>555</v>
      </c>
      <c r="E558" s="2">
        <f>SEARCH("mul",$C$4,E557+1)</f>
        <v>13757</v>
      </c>
      <c r="F558" s="2" t="str">
        <f>MID($C$4,E558,$F$1)</f>
        <v>mul(718,501)+-w</v>
      </c>
      <c r="G558" s="3">
        <f>SEARCH("(",F558)</f>
        <v>4</v>
      </c>
      <c r="H558" s="3">
        <f>SEARCH(",",F558)</f>
        <v>8</v>
      </c>
      <c r="I558" s="3">
        <f>SEARCH(")",F558)</f>
        <v>12</v>
      </c>
      <c r="J558" s="2" t="str">
        <f>IF(OR(ISERROR(G558),ISERROR(H558),ISERROR(I558)),"CORRUPT!","")</f>
        <v/>
      </c>
      <c r="K558" s="2" t="str">
        <f>IF(J558&lt;&gt;"","",MID(F558, G558+1, H558-G558-1))</f>
        <v>718</v>
      </c>
      <c r="L558" s="2">
        <f>IF(J558&lt;&gt;"","",LEN(K558))</f>
        <v>3</v>
      </c>
      <c r="M558" s="2" t="str">
        <f>IF(J558&lt;&gt;"","",MID(F558, H558+1, I558-H558-1))</f>
        <v>501</v>
      </c>
      <c r="N558" s="2">
        <f>IF(J558&lt;&gt;"","",LEN(M558))</f>
        <v>3</v>
      </c>
      <c r="O558" s="2">
        <f>IF(J558&lt;&gt;"","",K558*M558)</f>
        <v>359718</v>
      </c>
      <c r="R558" s="1" t="str">
        <v>610,271)+&gt;)(</v>
      </c>
      <c r="S558" s="1" t="str">
        <v>851,963</v>
      </c>
      <c r="T558" s="1" t="str">
        <v>851</v>
      </c>
      <c r="U558" s="1" t="str">
        <v>963</v>
      </c>
      <c r="V558" s="1">
        <v>819513</v>
      </c>
    </row>
    <row r="559" spans="4:22" x14ac:dyDescent="0.3">
      <c r="D559" s="2">
        <v>556</v>
      </c>
      <c r="E559" s="2">
        <f>SEARCH("mul",$C$4,E558+1)</f>
        <v>13776</v>
      </c>
      <c r="F559" s="2" t="str">
        <f>MID($C$4,E559,$F$1)</f>
        <v>mul(960,325);wh</v>
      </c>
      <c r="G559" s="3">
        <f>SEARCH("(",F559)</f>
        <v>4</v>
      </c>
      <c r="H559" s="3">
        <f>SEARCH(",",F559)</f>
        <v>8</v>
      </c>
      <c r="I559" s="3">
        <f>SEARCH(")",F559)</f>
        <v>12</v>
      </c>
      <c r="J559" s="2" t="str">
        <f>IF(OR(ISERROR(G559),ISERROR(H559),ISERROR(I559)),"CORRUPT!","")</f>
        <v/>
      </c>
      <c r="K559" s="2" t="str">
        <f>IF(J559&lt;&gt;"","",MID(F559, G559+1, H559-G559-1))</f>
        <v>960</v>
      </c>
      <c r="L559" s="2">
        <f>IF(J559&lt;&gt;"","",LEN(K559))</f>
        <v>3</v>
      </c>
      <c r="M559" s="2" t="str">
        <f>IF(J559&lt;&gt;"","",MID(F559, H559+1, I559-H559-1))</f>
        <v>325</v>
      </c>
      <c r="N559" s="2">
        <f>IF(J559&lt;&gt;"","",LEN(M559))</f>
        <v>3</v>
      </c>
      <c r="O559" s="2">
        <f>IF(J559&lt;&gt;"","",K559*M559)</f>
        <v>312000</v>
      </c>
      <c r="R559" s="1" t="str">
        <v>455,461)&gt;&amp;@-()from()+]</v>
      </c>
      <c r="S559" s="1" t="str">
        <v>45,859</v>
      </c>
      <c r="T559" s="1" t="str">
        <v>45</v>
      </c>
      <c r="U559" s="1" t="str">
        <v>859</v>
      </c>
      <c r="V559" s="1">
        <v>38655</v>
      </c>
    </row>
    <row r="560" spans="4:22" x14ac:dyDescent="0.3">
      <c r="D560" s="2">
        <v>557</v>
      </c>
      <c r="E560" s="2">
        <f>SEARCH("mul",$C$4,E559+1)</f>
        <v>13797</v>
      </c>
      <c r="F560" s="2" t="str">
        <f>MID($C$4,E560,$F$1)</f>
        <v>mul(615,493)sel</v>
      </c>
      <c r="G560" s="3">
        <f>SEARCH("(",F560)</f>
        <v>4</v>
      </c>
      <c r="H560" s="3">
        <f>SEARCH(",",F560)</f>
        <v>8</v>
      </c>
      <c r="I560" s="3">
        <f>SEARCH(")",F560)</f>
        <v>12</v>
      </c>
      <c r="J560" s="2" t="str">
        <f>IF(OR(ISERROR(G560),ISERROR(H560),ISERROR(I560)),"CORRUPT!","")</f>
        <v/>
      </c>
      <c r="K560" s="2" t="str">
        <f>IF(J560&lt;&gt;"","",MID(F560, G560+1, H560-G560-1))</f>
        <v>615</v>
      </c>
      <c r="L560" s="2">
        <f>IF(J560&lt;&gt;"","",LEN(K560))</f>
        <v>3</v>
      </c>
      <c r="M560" s="2" t="str">
        <f>IF(J560&lt;&gt;"","",MID(F560, H560+1, I560-H560-1))</f>
        <v>493</v>
      </c>
      <c r="N560" s="2">
        <f>IF(J560&lt;&gt;"","",LEN(M560))</f>
        <v>3</v>
      </c>
      <c r="O560" s="2">
        <f>IF(J560&lt;&gt;"","",K560*M560)</f>
        <v>303195</v>
      </c>
      <c r="R560" s="1" t="str">
        <v>232,944)&amp;,@when()@]</v>
      </c>
      <c r="S560" s="1" t="str">
        <v>807,272</v>
      </c>
      <c r="T560" s="1" t="str">
        <v>807</v>
      </c>
      <c r="U560" s="1" t="str">
        <v>272</v>
      </c>
      <c r="V560" s="1">
        <v>219504</v>
      </c>
    </row>
    <row r="561" spans="4:22" x14ac:dyDescent="0.3">
      <c r="D561" s="2">
        <v>558</v>
      </c>
      <c r="E561" s="2">
        <f>SEARCH("mul",$C$4,E560+1)</f>
        <v>13840</v>
      </c>
      <c r="F561" s="2" t="str">
        <f>MID($C$4,E561,$F$1)</f>
        <v>mul(905,145){[,</v>
      </c>
      <c r="G561" s="3">
        <f>SEARCH("(",F561)</f>
        <v>4</v>
      </c>
      <c r="H561" s="3">
        <f>SEARCH(",",F561)</f>
        <v>8</v>
      </c>
      <c r="I561" s="3">
        <f>SEARCH(")",F561)</f>
        <v>12</v>
      </c>
      <c r="J561" s="2" t="str">
        <f>IF(OR(ISERROR(G561),ISERROR(H561),ISERROR(I561)),"CORRUPT!","")</f>
        <v/>
      </c>
      <c r="K561" s="2" t="str">
        <f>IF(J561&lt;&gt;"","",MID(F561, G561+1, H561-G561-1))</f>
        <v>905</v>
      </c>
      <c r="L561" s="2">
        <f>IF(J561&lt;&gt;"","",LEN(K561))</f>
        <v>3</v>
      </c>
      <c r="M561" s="2" t="str">
        <f>IF(J561&lt;&gt;"","",MID(F561, H561+1, I561-H561-1))</f>
        <v>145</v>
      </c>
      <c r="N561" s="2">
        <f>IF(J561&lt;&gt;"","",LEN(M561))</f>
        <v>3</v>
      </c>
      <c r="O561" s="2">
        <f>IF(J561&lt;&gt;"","",K561*M561)</f>
        <v>131225</v>
      </c>
      <c r="R561" s="1" t="str">
        <v>523,215)</v>
      </c>
      <c r="S561" s="1" t="str">
        <v>943,224</v>
      </c>
      <c r="T561" s="1" t="str">
        <v>943</v>
      </c>
      <c r="U561" s="1" t="str">
        <v>224</v>
      </c>
      <c r="V561" s="1">
        <v>211232</v>
      </c>
    </row>
    <row r="562" spans="4:22" x14ac:dyDescent="0.3">
      <c r="D562" s="2">
        <v>559</v>
      </c>
      <c r="E562" s="2">
        <f>SEARCH("mul",$C$4,E561+1)</f>
        <v>13858</v>
      </c>
      <c r="F562" s="2" t="str">
        <f>MID($C$4,E562,$F$1)</f>
        <v>mul(260,136)&amp;@}</v>
      </c>
      <c r="G562" s="3">
        <f>SEARCH("(",F562)</f>
        <v>4</v>
      </c>
      <c r="H562" s="3">
        <f>SEARCH(",",F562)</f>
        <v>8</v>
      </c>
      <c r="I562" s="3">
        <f>SEARCH(")",F562)</f>
        <v>12</v>
      </c>
      <c r="J562" s="2" t="str">
        <f>IF(OR(ISERROR(G562),ISERROR(H562),ISERROR(I562)),"CORRUPT!","")</f>
        <v/>
      </c>
      <c r="K562" s="2" t="str">
        <f>IF(J562&lt;&gt;"","",MID(F562, G562+1, H562-G562-1))</f>
        <v>260</v>
      </c>
      <c r="L562" s="2">
        <f>IF(J562&lt;&gt;"","",LEN(K562))</f>
        <v>3</v>
      </c>
      <c r="M562" s="2" t="str">
        <f>IF(J562&lt;&gt;"","",MID(F562, H562+1, I562-H562-1))</f>
        <v>136</v>
      </c>
      <c r="N562" s="2">
        <f>IF(J562&lt;&gt;"","",LEN(M562))</f>
        <v>3</v>
      </c>
      <c r="O562" s="2">
        <f>IF(J562&lt;&gt;"","",K562*M562)</f>
        <v>35360</v>
      </c>
      <c r="R562" s="1" t="str">
        <v xml:space="preserve">876,836) </v>
      </c>
      <c r="S562" s="1" t="str">
        <v>415,924</v>
      </c>
      <c r="T562" s="1" t="str">
        <v>415</v>
      </c>
      <c r="U562" s="1" t="str">
        <v>924</v>
      </c>
      <c r="V562" s="1">
        <v>383460</v>
      </c>
    </row>
    <row r="563" spans="4:22" x14ac:dyDescent="0.3">
      <c r="D563" s="2">
        <v>560</v>
      </c>
      <c r="E563" s="2">
        <f>SEARCH("mul",$C$4,E562+1)</f>
        <v>13878</v>
      </c>
      <c r="F563" s="2" t="str">
        <f>MID($C$4,E563,$F$1)</f>
        <v>mul(380,442)^#*</v>
      </c>
      <c r="G563" s="3">
        <f>SEARCH("(",F563)</f>
        <v>4</v>
      </c>
      <c r="H563" s="3">
        <f>SEARCH(",",F563)</f>
        <v>8</v>
      </c>
      <c r="I563" s="3">
        <f>SEARCH(")",F563)</f>
        <v>12</v>
      </c>
      <c r="J563" s="2" t="str">
        <f>IF(OR(ISERROR(G563),ISERROR(H563),ISERROR(I563)),"CORRUPT!","")</f>
        <v/>
      </c>
      <c r="K563" s="2" t="str">
        <f>IF(J563&lt;&gt;"","",MID(F563, G563+1, H563-G563-1))</f>
        <v>380</v>
      </c>
      <c r="L563" s="2">
        <f>IF(J563&lt;&gt;"","",LEN(K563))</f>
        <v>3</v>
      </c>
      <c r="M563" s="2" t="str">
        <f>IF(J563&lt;&gt;"","",MID(F563, H563+1, I563-H563-1))</f>
        <v>442</v>
      </c>
      <c r="N563" s="2">
        <f>IF(J563&lt;&gt;"","",LEN(M563))</f>
        <v>3</v>
      </c>
      <c r="O563" s="2">
        <f>IF(J563&lt;&gt;"","",K563*M563)</f>
        <v>167960</v>
      </c>
      <c r="R563" s="1" t="str">
        <v>335,254)&lt;#-{from()^</v>
      </c>
      <c r="S563" s="1" t="str">
        <v>204,131</v>
      </c>
      <c r="T563" s="1" t="str">
        <v>204</v>
      </c>
      <c r="U563" s="1" t="str">
        <v>131</v>
      </c>
      <c r="V563" s="1">
        <v>26724</v>
      </c>
    </row>
    <row r="564" spans="4:22" x14ac:dyDescent="0.3">
      <c r="D564" s="2">
        <v>561</v>
      </c>
      <c r="E564" s="2">
        <f>SEARCH("mul",$C$4,E563+1)</f>
        <v>13906</v>
      </c>
      <c r="F564" s="2" t="str">
        <f>MID($C$4,E564,$F$1)</f>
        <v>mul(209/%(&gt;,how</v>
      </c>
      <c r="G564" s="3">
        <f>SEARCH("(",F564)</f>
        <v>4</v>
      </c>
      <c r="H564" s="3">
        <f>SEARCH(",",F564)</f>
        <v>12</v>
      </c>
      <c r="I564" s="3" t="e">
        <f>SEARCH(")",F564)</f>
        <v>#VALUE!</v>
      </c>
      <c r="J564" s="2" t="str">
        <f>IF(OR(ISERROR(G564),ISERROR(H564),ISERROR(I564)),"CORRUPT!","")</f>
        <v>CORRUPT!</v>
      </c>
      <c r="K564" s="2" t="str">
        <f>IF(J564&lt;&gt;"","",MID(F564, G564+1, H564-G564-1))</f>
        <v/>
      </c>
      <c r="L564" s="2" t="str">
        <f>IF(J564&lt;&gt;"","",LEN(K564))</f>
        <v/>
      </c>
      <c r="M564" s="2" t="str">
        <f>IF(J564&lt;&gt;"","",MID(F564, H564+1, I564-H564-1))</f>
        <v/>
      </c>
      <c r="N564" s="2" t="str">
        <f>IF(J564&lt;&gt;"","",LEN(M564))</f>
        <v/>
      </c>
      <c r="O564" s="2" t="str">
        <f>IF(J564&lt;&gt;"","",K564*M564)</f>
        <v/>
      </c>
      <c r="R564" s="1" t="str">
        <v>153,522)what(52,828)who()where()from()from()@&amp;&gt;$mul,!&amp;&lt;don't()why(768,688)what(),);'</v>
      </c>
      <c r="S564" s="1" t="str">
        <v>670,505</v>
      </c>
      <c r="T564" s="1" t="str">
        <v>670</v>
      </c>
      <c r="U564" s="1" t="str">
        <v>505</v>
      </c>
      <c r="V564" s="1">
        <v>338350</v>
      </c>
    </row>
    <row r="565" spans="4:22" x14ac:dyDescent="0.3">
      <c r="D565" s="2">
        <v>562</v>
      </c>
      <c r="E565" s="2">
        <f>SEARCH("mul",$C$4,E564+1)</f>
        <v>13924</v>
      </c>
      <c r="F565" s="2" t="str">
        <f>MID($C$4,E565,$F$1)</f>
        <v>mul(423,410)fro</v>
      </c>
      <c r="G565" s="3">
        <f>SEARCH("(",F565)</f>
        <v>4</v>
      </c>
      <c r="H565" s="3">
        <f>SEARCH(",",F565)</f>
        <v>8</v>
      </c>
      <c r="I565" s="3">
        <f>SEARCH(")",F565)</f>
        <v>12</v>
      </c>
      <c r="J565" s="2" t="str">
        <f>IF(OR(ISERROR(G565),ISERROR(H565),ISERROR(I565)),"CORRUPT!","")</f>
        <v/>
      </c>
      <c r="K565" s="2" t="str">
        <f>IF(J565&lt;&gt;"","",MID(F565, G565+1, H565-G565-1))</f>
        <v>423</v>
      </c>
      <c r="L565" s="2">
        <f>IF(J565&lt;&gt;"","",LEN(K565))</f>
        <v>3</v>
      </c>
      <c r="M565" s="2" t="str">
        <f>IF(J565&lt;&gt;"","",MID(F565, H565+1, I565-H565-1))</f>
        <v>410</v>
      </c>
      <c r="N565" s="2">
        <f>IF(J565&lt;&gt;"","",LEN(M565))</f>
        <v>3</v>
      </c>
      <c r="O565" s="2">
        <f>IF(J565&lt;&gt;"","",K565*M565)</f>
        <v>173430</v>
      </c>
      <c r="R565" s="1" t="str">
        <v>851,963)]&amp;;(</v>
      </c>
      <c r="S565" s="1" t="str">
        <v>672,267</v>
      </c>
      <c r="T565" s="1" t="str">
        <v>672</v>
      </c>
      <c r="U565" s="1" t="str">
        <v>267</v>
      </c>
      <c r="V565" s="1">
        <v>179424</v>
      </c>
    </row>
    <row r="566" spans="4:22" x14ac:dyDescent="0.3">
      <c r="D566" s="2">
        <v>563</v>
      </c>
      <c r="E566" s="2">
        <f>SEARCH("mul",$C$4,E565+1)</f>
        <v>13943</v>
      </c>
      <c r="F566" s="2" t="str">
        <f>MID($C$4,E566,$F$1)</f>
        <v>mul(381,141)+~-</v>
      </c>
      <c r="G566" s="3">
        <f>SEARCH("(",F566)</f>
        <v>4</v>
      </c>
      <c r="H566" s="3">
        <f>SEARCH(",",F566)</f>
        <v>8</v>
      </c>
      <c r="I566" s="3">
        <f>SEARCH(")",F566)</f>
        <v>12</v>
      </c>
      <c r="J566" s="2" t="str">
        <f>IF(OR(ISERROR(G566),ISERROR(H566),ISERROR(I566)),"CORRUPT!","")</f>
        <v/>
      </c>
      <c r="K566" s="2" t="str">
        <f>IF(J566&lt;&gt;"","",MID(F566, G566+1, H566-G566-1))</f>
        <v>381</v>
      </c>
      <c r="L566" s="2">
        <f>IF(J566&lt;&gt;"","",LEN(K566))</f>
        <v>3</v>
      </c>
      <c r="M566" s="2" t="str">
        <f>IF(J566&lt;&gt;"","",MID(F566, H566+1, I566-H566-1))</f>
        <v>141</v>
      </c>
      <c r="N566" s="2">
        <f>IF(J566&lt;&gt;"","",LEN(M566))</f>
        <v>3</v>
      </c>
      <c r="O566" s="2">
        <f>IF(J566&lt;&gt;"","",K566*M566)</f>
        <v>53721</v>
      </c>
      <c r="R566" s="1" t="str">
        <v>45,859)[;select() ~%]when()!where()</v>
      </c>
      <c r="S566" s="1" t="str">
        <v>540,120</v>
      </c>
      <c r="T566" s="1" t="str">
        <v>540</v>
      </c>
      <c r="U566" s="1" t="str">
        <v>120</v>
      </c>
      <c r="V566" s="1">
        <v>64800</v>
      </c>
    </row>
    <row r="567" spans="4:22" x14ac:dyDescent="0.3">
      <c r="D567" s="2">
        <v>564</v>
      </c>
      <c r="E567" s="2">
        <f>SEARCH("mul",$C$4,E566+1)</f>
        <v>13959</v>
      </c>
      <c r="F567" s="2" t="str">
        <f>MID($C$4,E567,$F$1)</f>
        <v>mul(674,158)^:w</v>
      </c>
      <c r="G567" s="3">
        <f>SEARCH("(",F567)</f>
        <v>4</v>
      </c>
      <c r="H567" s="3">
        <f>SEARCH(",",F567)</f>
        <v>8</v>
      </c>
      <c r="I567" s="3">
        <f>SEARCH(")",F567)</f>
        <v>12</v>
      </c>
      <c r="J567" s="2" t="str">
        <f>IF(OR(ISERROR(G567),ISERROR(H567),ISERROR(I567)),"CORRUPT!","")</f>
        <v/>
      </c>
      <c r="K567" s="2" t="str">
        <f>IF(J567&lt;&gt;"","",MID(F567, G567+1, H567-G567-1))</f>
        <v>674</v>
      </c>
      <c r="L567" s="2">
        <f>IF(J567&lt;&gt;"","",LEN(K567))</f>
        <v>3</v>
      </c>
      <c r="M567" s="2" t="str">
        <f>IF(J567&lt;&gt;"","",MID(F567, H567+1, I567-H567-1))</f>
        <v>158</v>
      </c>
      <c r="N567" s="2">
        <f>IF(J567&lt;&gt;"","",LEN(M567))</f>
        <v>3</v>
      </c>
      <c r="O567" s="2">
        <f>IF(J567&lt;&gt;"","",K567*M567)</f>
        <v>106492</v>
      </c>
      <c r="R567" s="1" t="str">
        <v>807,272):#from()</v>
      </c>
      <c r="S567" s="1" t="str">
        <v>234,539</v>
      </c>
      <c r="T567" s="1" t="str">
        <v>234</v>
      </c>
      <c r="U567" s="1" t="str">
        <v>539</v>
      </c>
      <c r="V567" s="1">
        <v>126126</v>
      </c>
    </row>
    <row r="568" spans="4:22" x14ac:dyDescent="0.3">
      <c r="D568" s="2">
        <v>565</v>
      </c>
      <c r="E568" s="2">
        <f>SEARCH("mul",$C$4,E567+1)</f>
        <v>13988</v>
      </c>
      <c r="F568" s="2" t="str">
        <f>MID($C$4,E568,$F$1)</f>
        <v>mul*^,mul(74,31</v>
      </c>
      <c r="G568" s="3">
        <f>SEARCH("(",F568)</f>
        <v>10</v>
      </c>
      <c r="H568" s="3">
        <f>SEARCH(",",F568)</f>
        <v>6</v>
      </c>
      <c r="I568" s="3" t="e">
        <f>SEARCH(")",F568)</f>
        <v>#VALUE!</v>
      </c>
      <c r="J568" s="2" t="str">
        <f>IF(OR(ISERROR(G568),ISERROR(H568),ISERROR(I568)),"CORRUPT!","")</f>
        <v>CORRUPT!</v>
      </c>
      <c r="K568" s="2" t="str">
        <f>IF(J568&lt;&gt;"","",MID(F568, G568+1, H568-G568-1))</f>
        <v/>
      </c>
      <c r="L568" s="2" t="str">
        <f>IF(J568&lt;&gt;"","",LEN(K568))</f>
        <v/>
      </c>
      <c r="M568" s="2" t="str">
        <f>IF(J568&lt;&gt;"","",MID(F568, H568+1, I568-H568-1))</f>
        <v/>
      </c>
      <c r="N568" s="2" t="str">
        <f>IF(J568&lt;&gt;"","",LEN(M568))</f>
        <v/>
      </c>
      <c r="O568" s="2" t="str">
        <f>IF(J568&lt;&gt;"","",K568*M568)</f>
        <v/>
      </c>
      <c r="R568" s="1" t="str">
        <v>943,224)?$</v>
      </c>
      <c r="S568" s="1" t="str">
        <v>30,143</v>
      </c>
      <c r="T568" s="1" t="str">
        <v>30</v>
      </c>
      <c r="U568" s="1" t="str">
        <v>143</v>
      </c>
      <c r="V568" s="1">
        <v>4290</v>
      </c>
    </row>
    <row r="569" spans="4:22" x14ac:dyDescent="0.3">
      <c r="D569" s="2">
        <v>566</v>
      </c>
      <c r="E569" s="2">
        <f>SEARCH("mul",$C$4,E568+1)</f>
        <v>13994</v>
      </c>
      <c r="F569" s="2" t="str">
        <f>MID($C$4,E569,$F$1)</f>
        <v>mul(74,315)!-),</v>
      </c>
      <c r="G569" s="3">
        <f>SEARCH("(",F569)</f>
        <v>4</v>
      </c>
      <c r="H569" s="3">
        <f>SEARCH(",",F569)</f>
        <v>7</v>
      </c>
      <c r="I569" s="3">
        <f>SEARCH(")",F569)</f>
        <v>11</v>
      </c>
      <c r="J569" s="2" t="str">
        <f>IF(OR(ISERROR(G569),ISERROR(H569),ISERROR(I569)),"CORRUPT!","")</f>
        <v/>
      </c>
      <c r="K569" s="2" t="str">
        <f>IF(J569&lt;&gt;"","",MID(F569, G569+1, H569-G569-1))</f>
        <v>74</v>
      </c>
      <c r="L569" s="2">
        <f>IF(J569&lt;&gt;"","",LEN(K569))</f>
        <v>2</v>
      </c>
      <c r="M569" s="2" t="str">
        <f>IF(J569&lt;&gt;"","",MID(F569, H569+1, I569-H569-1))</f>
        <v>315</v>
      </c>
      <c r="N569" s="2">
        <f>IF(J569&lt;&gt;"","",LEN(M569))</f>
        <v>3</v>
      </c>
      <c r="O569" s="2">
        <f>IF(J569&lt;&gt;"","",K569*M569)</f>
        <v>23310</v>
      </c>
      <c r="R569" s="1" t="str">
        <v>415,924)'from()?</v>
      </c>
      <c r="S569" s="1" t="str">
        <v>545,761</v>
      </c>
      <c r="T569" s="1" t="str">
        <v>545</v>
      </c>
      <c r="U569" s="1" t="str">
        <v>761</v>
      </c>
      <c r="V569" s="1">
        <v>414745</v>
      </c>
    </row>
    <row r="570" spans="4:22" x14ac:dyDescent="0.3">
      <c r="D570" s="2">
        <v>567</v>
      </c>
      <c r="E570" s="2">
        <f>SEARCH("mul",$C$4,E569+1)</f>
        <v>14009</v>
      </c>
      <c r="F570" s="2" t="str">
        <f>MID($C$4,E570,$F$1)</f>
        <v>mul(341,503)whe</v>
      </c>
      <c r="G570" s="3">
        <f>SEARCH("(",F570)</f>
        <v>4</v>
      </c>
      <c r="H570" s="3">
        <f>SEARCH(",",F570)</f>
        <v>8</v>
      </c>
      <c r="I570" s="3">
        <f>SEARCH(")",F570)</f>
        <v>12</v>
      </c>
      <c r="J570" s="2" t="str">
        <f>IF(OR(ISERROR(G570),ISERROR(H570),ISERROR(I570)),"CORRUPT!","")</f>
        <v/>
      </c>
      <c r="K570" s="2" t="str">
        <f>IF(J570&lt;&gt;"","",MID(F570, G570+1, H570-G570-1))</f>
        <v>341</v>
      </c>
      <c r="L570" s="2">
        <f>IF(J570&lt;&gt;"","",LEN(K570))</f>
        <v>3</v>
      </c>
      <c r="M570" s="2" t="str">
        <f>IF(J570&lt;&gt;"","",MID(F570, H570+1, I570-H570-1))</f>
        <v>503</v>
      </c>
      <c r="N570" s="2">
        <f>IF(J570&lt;&gt;"","",LEN(M570))</f>
        <v>3</v>
      </c>
      <c r="O570" s="2">
        <f>IF(J570&lt;&gt;"","",K570*M570)</f>
        <v>171523</v>
      </c>
      <c r="R570" s="1" t="str">
        <v>204,131)}(&gt;what()^&gt;*{'</v>
      </c>
      <c r="S570" s="1" t="str">
        <v>673,752why(</v>
      </c>
      <c r="T570" s="1" t="str">
        <v>673</v>
      </c>
      <c r="U570" s="1" t="str">
        <v>752why(</v>
      </c>
      <c r="V570" s="1">
        <v>0</v>
      </c>
    </row>
    <row r="571" spans="4:22" x14ac:dyDescent="0.3">
      <c r="D571" s="2">
        <v>568</v>
      </c>
      <c r="E571" s="2">
        <f>SEARCH("mul",$C$4,E570+1)</f>
        <v>14046</v>
      </c>
      <c r="F571" s="2" t="str">
        <f>MID($C$4,E571,$F$1)</f>
        <v>mul(624,435)mul</v>
      </c>
      <c r="G571" s="3">
        <f>SEARCH("(",F571)</f>
        <v>4</v>
      </c>
      <c r="H571" s="3">
        <f>SEARCH(",",F571)</f>
        <v>8</v>
      </c>
      <c r="I571" s="3">
        <f>SEARCH(")",F571)</f>
        <v>12</v>
      </c>
      <c r="J571" s="2" t="str">
        <f>IF(OR(ISERROR(G571),ISERROR(H571),ISERROR(I571)),"CORRUPT!","")</f>
        <v/>
      </c>
      <c r="K571" s="2" t="str">
        <f>IF(J571&lt;&gt;"","",MID(F571, G571+1, H571-G571-1))</f>
        <v>624</v>
      </c>
      <c r="L571" s="2">
        <f>IF(J571&lt;&gt;"","",LEN(K571))</f>
        <v>3</v>
      </c>
      <c r="M571" s="2" t="str">
        <f>IF(J571&lt;&gt;"","",MID(F571, H571+1, I571-H571-1))</f>
        <v>435</v>
      </c>
      <c r="N571" s="2">
        <f>IF(J571&lt;&gt;"","",LEN(M571))</f>
        <v>3</v>
      </c>
      <c r="O571" s="2">
        <f>IF(J571&lt;&gt;"","",K571*M571)</f>
        <v>271440</v>
      </c>
      <c r="R571" s="1" t="str">
        <v>670,505)$mul&amp;&amp;/&lt;don't()why()@#(*~/:&gt;(</v>
      </c>
      <c r="S571" s="1" t="str">
        <v>111,407</v>
      </c>
      <c r="T571" s="1" t="str">
        <v>111</v>
      </c>
      <c r="U571" s="1" t="str">
        <v>407</v>
      </c>
      <c r="V571" s="1">
        <v>45177</v>
      </c>
    </row>
    <row r="572" spans="4:22" x14ac:dyDescent="0.3">
      <c r="D572" s="2">
        <v>569</v>
      </c>
      <c r="E572" s="2">
        <f>SEARCH("mul",$C$4,E571+1)</f>
        <v>14058</v>
      </c>
      <c r="F572" s="2" t="str">
        <f>MID($C$4,E572,$F$1)</f>
        <v>mul(880,482)}wh</v>
      </c>
      <c r="G572" s="3">
        <f>SEARCH("(",F572)</f>
        <v>4</v>
      </c>
      <c r="H572" s="3">
        <f>SEARCH(",",F572)</f>
        <v>8</v>
      </c>
      <c r="I572" s="3">
        <f>SEARCH(")",F572)</f>
        <v>12</v>
      </c>
      <c r="J572" s="2" t="str">
        <f>IF(OR(ISERROR(G572),ISERROR(H572),ISERROR(I572)),"CORRUPT!","")</f>
        <v/>
      </c>
      <c r="K572" s="2" t="str">
        <f>IF(J572&lt;&gt;"","",MID(F572, G572+1, H572-G572-1))</f>
        <v>880</v>
      </c>
      <c r="L572" s="2">
        <f>IF(J572&lt;&gt;"","",LEN(K572))</f>
        <v>3</v>
      </c>
      <c r="M572" s="2" t="str">
        <f>IF(J572&lt;&gt;"","",MID(F572, H572+1, I572-H572-1))</f>
        <v>482</v>
      </c>
      <c r="N572" s="2">
        <f>IF(J572&lt;&gt;"","",LEN(M572))</f>
        <v>3</v>
      </c>
      <c r="O572" s="2">
        <f>IF(J572&lt;&gt;"","",K572*M572)</f>
        <v>424160</v>
      </c>
      <c r="R572" s="1" t="str">
        <v>672,267)</v>
      </c>
      <c r="S572" s="1" t="str">
        <v>860,90</v>
      </c>
      <c r="T572" s="1" t="str">
        <v>860</v>
      </c>
      <c r="U572" s="1" t="str">
        <v>90</v>
      </c>
      <c r="V572" s="1">
        <v>77400</v>
      </c>
    </row>
    <row r="573" spans="4:22" x14ac:dyDescent="0.3">
      <c r="D573" s="2">
        <v>570</v>
      </c>
      <c r="E573" s="2">
        <f>SEARCH("mul",$C$4,E572+1)</f>
        <v>14097</v>
      </c>
      <c r="F573" s="2" t="str">
        <f>MID($C$4,E573,$F$1)</f>
        <v>mul(367,134)whe</v>
      </c>
      <c r="G573" s="3">
        <f>SEARCH("(",F573)</f>
        <v>4</v>
      </c>
      <c r="H573" s="3">
        <f>SEARCH(",",F573)</f>
        <v>8</v>
      </c>
      <c r="I573" s="3">
        <f>SEARCH(")",F573)</f>
        <v>12</v>
      </c>
      <c r="J573" s="2" t="str">
        <f>IF(OR(ISERROR(G573),ISERROR(H573),ISERROR(I573)),"CORRUPT!","")</f>
        <v/>
      </c>
      <c r="K573" s="2" t="str">
        <f>IF(J573&lt;&gt;"","",MID(F573, G573+1, H573-G573-1))</f>
        <v>367</v>
      </c>
      <c r="L573" s="2">
        <f>IF(J573&lt;&gt;"","",LEN(K573))</f>
        <v>3</v>
      </c>
      <c r="M573" s="2" t="str">
        <f>IF(J573&lt;&gt;"","",MID(F573, H573+1, I573-H573-1))</f>
        <v>134</v>
      </c>
      <c r="N573" s="2">
        <f>IF(J573&lt;&gt;"","",LEN(M573))</f>
        <v>3</v>
      </c>
      <c r="O573" s="2">
        <f>IF(J573&lt;&gt;"","",K573*M573)</f>
        <v>49178</v>
      </c>
      <c r="R573" s="1" t="str">
        <v>540,120)&lt;$[-&gt;!}</v>
      </c>
      <c r="S573" s="1" t="str">
        <v>217,327</v>
      </c>
      <c r="T573" s="1" t="str">
        <v>217</v>
      </c>
      <c r="U573" s="1" t="str">
        <v>327</v>
      </c>
      <c r="V573" s="1">
        <v>70959</v>
      </c>
    </row>
    <row r="574" spans="4:22" x14ac:dyDescent="0.3">
      <c r="D574" s="2">
        <v>571</v>
      </c>
      <c r="E574" s="2">
        <f>SEARCH("mul",$C$4,E573+1)</f>
        <v>14122</v>
      </c>
      <c r="F574" s="2" t="str">
        <f>MID($C$4,E574,$F$1)</f>
        <v>mul(166,251)@+,</v>
      </c>
      <c r="G574" s="3">
        <f>SEARCH("(",F574)</f>
        <v>4</v>
      </c>
      <c r="H574" s="3">
        <f>SEARCH(",",F574)</f>
        <v>8</v>
      </c>
      <c r="I574" s="3">
        <f>SEARCH(")",F574)</f>
        <v>12</v>
      </c>
      <c r="J574" s="2" t="str">
        <f>IF(OR(ISERROR(G574),ISERROR(H574),ISERROR(I574)),"CORRUPT!","")</f>
        <v/>
      </c>
      <c r="K574" s="2" t="str">
        <f>IF(J574&lt;&gt;"","",MID(F574, G574+1, H574-G574-1))</f>
        <v>166</v>
      </c>
      <c r="L574" s="2">
        <f>IF(J574&lt;&gt;"","",LEN(K574))</f>
        <v>3</v>
      </c>
      <c r="M574" s="2" t="str">
        <f>IF(J574&lt;&gt;"","",MID(F574, H574+1, I574-H574-1))</f>
        <v>251</v>
      </c>
      <c r="N574" s="2">
        <f>IF(J574&lt;&gt;"","",LEN(M574))</f>
        <v>3</v>
      </c>
      <c r="O574" s="2">
        <f>IF(J574&lt;&gt;"","",K574*M574)</f>
        <v>41666</v>
      </c>
      <c r="R574" s="1" t="str">
        <v>234,539)!%]who(){</v>
      </c>
      <c r="S574" s="1" t="str">
        <v>729,143</v>
      </c>
      <c r="T574" s="1" t="str">
        <v>729</v>
      </c>
      <c r="U574" s="1" t="str">
        <v>143</v>
      </c>
      <c r="V574" s="1">
        <v>104247</v>
      </c>
    </row>
    <row r="575" spans="4:22" x14ac:dyDescent="0.3">
      <c r="D575" s="2">
        <v>572</v>
      </c>
      <c r="E575" s="2">
        <f>SEARCH("mul",$C$4,E574+1)</f>
        <v>14143</v>
      </c>
      <c r="F575" s="2" t="str">
        <f>MID($C$4,E575,$F$1)</f>
        <v>mul(610,271)+&gt;)</v>
      </c>
      <c r="G575" s="3">
        <f>SEARCH("(",F575)</f>
        <v>4</v>
      </c>
      <c r="H575" s="3">
        <f>SEARCH(",",F575)</f>
        <v>8</v>
      </c>
      <c r="I575" s="3">
        <f>SEARCH(")",F575)</f>
        <v>12</v>
      </c>
      <c r="J575" s="2" t="str">
        <f>IF(OR(ISERROR(G575),ISERROR(H575),ISERROR(I575)),"CORRUPT!","")</f>
        <v/>
      </c>
      <c r="K575" s="2" t="str">
        <f>IF(J575&lt;&gt;"","",MID(F575, G575+1, H575-G575-1))</f>
        <v>610</v>
      </c>
      <c r="L575" s="2">
        <f>IF(J575&lt;&gt;"","",LEN(K575))</f>
        <v>3</v>
      </c>
      <c r="M575" s="2" t="str">
        <f>IF(J575&lt;&gt;"","",MID(F575, H575+1, I575-H575-1))</f>
        <v>271</v>
      </c>
      <c r="N575" s="2">
        <f>IF(J575&lt;&gt;"","",LEN(M575))</f>
        <v>3</v>
      </c>
      <c r="O575" s="2">
        <f>IF(J575&lt;&gt;"","",K575*M575)</f>
        <v>165310</v>
      </c>
      <c r="R575" s="1" t="str">
        <v>30,143)*</v>
      </c>
      <c r="S575" s="1" t="str">
        <v>362,874</v>
      </c>
      <c r="T575" s="1" t="str">
        <v>362</v>
      </c>
      <c r="U575" s="1" t="str">
        <v>874</v>
      </c>
      <c r="V575" s="1">
        <v>316388</v>
      </c>
    </row>
    <row r="576" spans="4:22" x14ac:dyDescent="0.3">
      <c r="D576" s="2">
        <v>573</v>
      </c>
      <c r="E576" s="2">
        <f>SEARCH("mul",$C$4,E575+1)</f>
        <v>14159</v>
      </c>
      <c r="F576" s="2" t="str">
        <f>MID($C$4,E576,$F$1)</f>
        <v>mul(455,461)&gt;&amp;@</v>
      </c>
      <c r="G576" s="3">
        <f>SEARCH("(",F576)</f>
        <v>4</v>
      </c>
      <c r="H576" s="3">
        <f>SEARCH(",",F576)</f>
        <v>8</v>
      </c>
      <c r="I576" s="3">
        <f>SEARCH(")",F576)</f>
        <v>12</v>
      </c>
      <c r="J576" s="2" t="str">
        <f>IF(OR(ISERROR(G576),ISERROR(H576),ISERROR(I576)),"CORRUPT!","")</f>
        <v/>
      </c>
      <c r="K576" s="2" t="str">
        <f>IF(J576&lt;&gt;"","",MID(F576, G576+1, H576-G576-1))</f>
        <v>455</v>
      </c>
      <c r="L576" s="2">
        <f>IF(J576&lt;&gt;"","",LEN(K576))</f>
        <v>3</v>
      </c>
      <c r="M576" s="2" t="str">
        <f>IF(J576&lt;&gt;"","",MID(F576, H576+1, I576-H576-1))</f>
        <v>461</v>
      </c>
      <c r="N576" s="2">
        <f>IF(J576&lt;&gt;"","",LEN(M576))</f>
        <v>3</v>
      </c>
      <c r="O576" s="2">
        <f>IF(J576&lt;&gt;"","",K576*M576)</f>
        <v>209755</v>
      </c>
      <c r="R576" s="1" t="str">
        <v>545,761)where()'!how(935,4)who()%'{~</v>
      </c>
      <c r="S576" s="1" t="str">
        <v>315,718</v>
      </c>
      <c r="T576" s="1" t="str">
        <v>315</v>
      </c>
      <c r="U576" s="1" t="str">
        <v>718</v>
      </c>
      <c r="V576" s="1">
        <v>226170</v>
      </c>
    </row>
    <row r="577" spans="4:22" x14ac:dyDescent="0.3">
      <c r="D577" s="2">
        <v>574</v>
      </c>
      <c r="E577" s="2">
        <f>SEARCH("mul",$C$4,E576+1)</f>
        <v>14185</v>
      </c>
      <c r="F577" s="2" t="str">
        <f>MID($C$4,E577,$F$1)</f>
        <v>mul(232,944)&amp;,@</v>
      </c>
      <c r="G577" s="3">
        <f>SEARCH("(",F577)</f>
        <v>4</v>
      </c>
      <c r="H577" s="3">
        <f>SEARCH(",",F577)</f>
        <v>8</v>
      </c>
      <c r="I577" s="3">
        <f>SEARCH(")",F577)</f>
        <v>12</v>
      </c>
      <c r="J577" s="2" t="str">
        <f>IF(OR(ISERROR(G577),ISERROR(H577),ISERROR(I577)),"CORRUPT!","")</f>
        <v/>
      </c>
      <c r="K577" s="2" t="str">
        <f>IF(J577&lt;&gt;"","",MID(F577, G577+1, H577-G577-1))</f>
        <v>232</v>
      </c>
      <c r="L577" s="2">
        <f>IF(J577&lt;&gt;"","",LEN(K577))</f>
        <v>3</v>
      </c>
      <c r="M577" s="2" t="str">
        <f>IF(J577&lt;&gt;"","",MID(F577, H577+1, I577-H577-1))</f>
        <v>944</v>
      </c>
      <c r="N577" s="2">
        <f>IF(J577&lt;&gt;"","",LEN(M577))</f>
        <v>3</v>
      </c>
      <c r="O577" s="2">
        <f>IF(J577&lt;&gt;"","",K577*M577)</f>
        <v>219008</v>
      </c>
      <c r="R577" s="1" t="str">
        <v>673,752why()what()^:</v>
      </c>
      <c r="S577" s="1" t="str">
        <v>206,449</v>
      </c>
      <c r="T577" s="1" t="str">
        <v>206</v>
      </c>
      <c r="U577" s="1" t="str">
        <v>449</v>
      </c>
      <c r="V577" s="1">
        <v>92494</v>
      </c>
    </row>
    <row r="578" spans="4:22" x14ac:dyDescent="0.3">
      <c r="D578" s="2">
        <v>575</v>
      </c>
      <c r="E578" s="2">
        <f>SEARCH("mul",$C$4,E577+1)</f>
        <v>14208</v>
      </c>
      <c r="F578" s="2" t="str">
        <f>MID($C$4,E578,$F$1)</f>
        <v>mul(523,215)mul</v>
      </c>
      <c r="G578" s="3">
        <f>SEARCH("(",F578)</f>
        <v>4</v>
      </c>
      <c r="H578" s="3">
        <f>SEARCH(",",F578)</f>
        <v>8</v>
      </c>
      <c r="I578" s="3">
        <f>SEARCH(")",F578)</f>
        <v>12</v>
      </c>
      <c r="J578" s="2" t="str">
        <f>IF(OR(ISERROR(G578),ISERROR(H578),ISERROR(I578)),"CORRUPT!","")</f>
        <v/>
      </c>
      <c r="K578" s="2" t="str">
        <f>IF(J578&lt;&gt;"","",MID(F578, G578+1, H578-G578-1))</f>
        <v>523</v>
      </c>
      <c r="L578" s="2">
        <f>IF(J578&lt;&gt;"","",LEN(K578))</f>
        <v>3</v>
      </c>
      <c r="M578" s="2" t="str">
        <f>IF(J578&lt;&gt;"","",MID(F578, H578+1, I578-H578-1))</f>
        <v>215</v>
      </c>
      <c r="N578" s="2">
        <f>IF(J578&lt;&gt;"","",LEN(M578))</f>
        <v>3</v>
      </c>
      <c r="O578" s="2">
        <f>IF(J578&lt;&gt;"","",K578*M578)</f>
        <v>112445</v>
      </c>
      <c r="R578" s="1" t="str">
        <v>111,407)from()}</v>
      </c>
      <c r="S578" s="1" t="str">
        <v>185,796</v>
      </c>
      <c r="T578" s="1" t="str">
        <v>185</v>
      </c>
      <c r="U578" s="1" t="str">
        <v>796</v>
      </c>
      <c r="V578" s="1">
        <v>147260</v>
      </c>
    </row>
    <row r="579" spans="4:22" x14ac:dyDescent="0.3">
      <c r="D579" s="2">
        <v>576</v>
      </c>
      <c r="E579" s="2">
        <f>SEARCH("mul",$C$4,E578+1)</f>
        <v>14220</v>
      </c>
      <c r="F579" s="2" t="str">
        <f>MID($C$4,E579,$F$1)</f>
        <v>mul(876,836) mu</v>
      </c>
      <c r="G579" s="3">
        <f>SEARCH("(",F579)</f>
        <v>4</v>
      </c>
      <c r="H579" s="3">
        <f>SEARCH(",",F579)</f>
        <v>8</v>
      </c>
      <c r="I579" s="3">
        <f>SEARCH(")",F579)</f>
        <v>12</v>
      </c>
      <c r="J579" s="2" t="str">
        <f>IF(OR(ISERROR(G579),ISERROR(H579),ISERROR(I579)),"CORRUPT!","")</f>
        <v/>
      </c>
      <c r="K579" s="2" t="str">
        <f>IF(J579&lt;&gt;"","",MID(F579, G579+1, H579-G579-1))</f>
        <v>876</v>
      </c>
      <c r="L579" s="2">
        <f>IF(J579&lt;&gt;"","",LEN(K579))</f>
        <v>3</v>
      </c>
      <c r="M579" s="2" t="str">
        <f>IF(J579&lt;&gt;"","",MID(F579, H579+1, I579-H579-1))</f>
        <v>836</v>
      </c>
      <c r="N579" s="2">
        <f>IF(J579&lt;&gt;"","",LEN(M579))</f>
        <v>3</v>
      </c>
      <c r="O579" s="2">
        <f>IF(J579&lt;&gt;"","",K579*M579)</f>
        <v>732336</v>
      </c>
      <c r="R579" s="1" t="str">
        <v>860,90)#who()/^!how()-!{!</v>
      </c>
      <c r="S579" s="1" t="str">
        <v>597,268</v>
      </c>
      <c r="T579" s="1" t="str">
        <v>597</v>
      </c>
      <c r="U579" s="1" t="str">
        <v>268</v>
      </c>
      <c r="V579" s="1">
        <v>159996</v>
      </c>
    </row>
    <row r="580" spans="4:22" x14ac:dyDescent="0.3">
      <c r="D580" s="2">
        <v>577</v>
      </c>
      <c r="E580" s="2">
        <f>SEARCH("mul",$C$4,E579+1)</f>
        <v>14233</v>
      </c>
      <c r="F580" s="2" t="str">
        <f>MID($C$4,E580,$F$1)</f>
        <v>mul(335,254)&lt;#-</v>
      </c>
      <c r="G580" s="3">
        <f>SEARCH("(",F580)</f>
        <v>4</v>
      </c>
      <c r="H580" s="3">
        <f>SEARCH(",",F580)</f>
        <v>8</v>
      </c>
      <c r="I580" s="3">
        <f>SEARCH(")",F580)</f>
        <v>12</v>
      </c>
      <c r="J580" s="2" t="str">
        <f>IF(OR(ISERROR(G580),ISERROR(H580),ISERROR(I580)),"CORRUPT!","")</f>
        <v/>
      </c>
      <c r="K580" s="2" t="str">
        <f>IF(J580&lt;&gt;"","",MID(F580, G580+1, H580-G580-1))</f>
        <v>335</v>
      </c>
      <c r="L580" s="2">
        <f>IF(J580&lt;&gt;"","",LEN(K580))</f>
        <v>3</v>
      </c>
      <c r="M580" s="2" t="str">
        <f>IF(J580&lt;&gt;"","",MID(F580, H580+1, I580-H580-1))</f>
        <v>254</v>
      </c>
      <c r="N580" s="2">
        <f>IF(J580&lt;&gt;"","",LEN(M580))</f>
        <v>3</v>
      </c>
      <c r="O580" s="2">
        <f>IF(J580&lt;&gt;"","",K580*M580)</f>
        <v>85090</v>
      </c>
      <c r="R580" s="1" t="str">
        <v>217,327)what()!'where()</v>
      </c>
      <c r="S580" s="1" t="str">
        <v>516,734</v>
      </c>
      <c r="T580" s="1" t="str">
        <v>516</v>
      </c>
      <c r="U580" s="1" t="str">
        <v>734</v>
      </c>
      <c r="V580" s="1">
        <v>378744</v>
      </c>
    </row>
    <row r="581" spans="4:22" x14ac:dyDescent="0.3">
      <c r="D581" s="2">
        <v>578</v>
      </c>
      <c r="E581" s="2">
        <f>SEARCH("mul",$C$4,E580+1)</f>
        <v>14256</v>
      </c>
      <c r="F581" s="2" t="str">
        <f>MID($C$4,E581,$F$1)</f>
        <v>mul(153,522)wha</v>
      </c>
      <c r="G581" s="3">
        <f>SEARCH("(",F581)</f>
        <v>4</v>
      </c>
      <c r="H581" s="3">
        <f>SEARCH(",",F581)</f>
        <v>8</v>
      </c>
      <c r="I581" s="3">
        <f>SEARCH(")",F581)</f>
        <v>12</v>
      </c>
      <c r="J581" s="2" t="str">
        <f>IF(OR(ISERROR(G581),ISERROR(H581),ISERROR(I581)),"CORRUPT!","")</f>
        <v/>
      </c>
      <c r="K581" s="2" t="str">
        <f>IF(J581&lt;&gt;"","",MID(F581, G581+1, H581-G581-1))</f>
        <v>153</v>
      </c>
      <c r="L581" s="2">
        <f>IF(J581&lt;&gt;"","",LEN(K581))</f>
        <v>3</v>
      </c>
      <c r="M581" s="2" t="str">
        <f>IF(J581&lt;&gt;"","",MID(F581, H581+1, I581-H581-1))</f>
        <v>522</v>
      </c>
      <c r="N581" s="2">
        <f>IF(J581&lt;&gt;"","",LEN(M581))</f>
        <v>3</v>
      </c>
      <c r="O581" s="2">
        <f>IF(J581&lt;&gt;"","",K581*M581)</f>
        <v>79866</v>
      </c>
      <c r="R581" s="1" t="str">
        <v>729,143)where()!how()#</v>
      </c>
      <c r="S581" s="1" t="str">
        <v>366,627</v>
      </c>
      <c r="T581" s="1" t="str">
        <v>366</v>
      </c>
      <c r="U581" s="1" t="str">
        <v>627</v>
      </c>
      <c r="V581" s="1">
        <v>229482</v>
      </c>
    </row>
    <row r="582" spans="4:22" x14ac:dyDescent="0.3">
      <c r="D582" s="2">
        <v>579</v>
      </c>
      <c r="E582" s="2">
        <f>SEARCH("mul",$C$4,E581+1)</f>
        <v>14308</v>
      </c>
      <c r="F582" s="2" t="str">
        <f>MID($C$4,E582,$F$1)</f>
        <v>mul,!&amp;&lt;don't()w</v>
      </c>
      <c r="G582" s="3">
        <f>SEARCH("(",F582)</f>
        <v>13</v>
      </c>
      <c r="H582" s="3">
        <f>SEARCH(",",F582)</f>
        <v>4</v>
      </c>
      <c r="I582" s="3">
        <f>SEARCH(")",F582)</f>
        <v>14</v>
      </c>
      <c r="J582" s="2" t="s">
        <v>2</v>
      </c>
      <c r="K582" s="2" t="str">
        <f>IF(J582&lt;&gt;"","",MID(F582, G582+1, H582-G582-1))</f>
        <v/>
      </c>
      <c r="L582" s="2" t="str">
        <f>IF(J582&lt;&gt;"","",LEN(K582))</f>
        <v/>
      </c>
      <c r="M582" s="2" t="str">
        <f>IF(J582&lt;&gt;"","",MID(F582, H582+1, I582-H582-1))</f>
        <v/>
      </c>
      <c r="N582" s="2" t="str">
        <f>IF(J582&lt;&gt;"","",LEN(M582))</f>
        <v/>
      </c>
      <c r="O582" s="2" t="str">
        <f>IF(J582&lt;&gt;"","",K582*M582)</f>
        <v/>
      </c>
      <c r="R582" s="1" t="str">
        <v>362,874)$how()how()-&gt;who()~^</v>
      </c>
      <c r="S582" s="1" t="str">
        <v>62,39</v>
      </c>
      <c r="T582" s="1" t="str">
        <v>62</v>
      </c>
      <c r="U582" s="1" t="str">
        <v>39</v>
      </c>
      <c r="V582" s="1">
        <v>2418</v>
      </c>
    </row>
    <row r="583" spans="4:22" x14ac:dyDescent="0.3">
      <c r="D583" s="2">
        <v>580</v>
      </c>
      <c r="E583" s="2">
        <f>SEARCH("mul",$C$4,E582+1)</f>
        <v>14344</v>
      </c>
      <c r="F583" s="2" t="str">
        <f>MID($C$4,E583,$F$1)</f>
        <v>mul(851,963)]&amp;;</v>
      </c>
      <c r="G583" s="3">
        <f>SEARCH("(",F583)</f>
        <v>4</v>
      </c>
      <c r="H583" s="3">
        <f>SEARCH(",",F583)</f>
        <v>8</v>
      </c>
      <c r="I583" s="3">
        <f>SEARCH(")",F583)</f>
        <v>12</v>
      </c>
      <c r="J583" s="2" t="str">
        <f>IF(OR(ISERROR(G583),ISERROR(H583),ISERROR(I583)),"CORRUPT!","")</f>
        <v/>
      </c>
      <c r="K583" s="2" t="str">
        <f>IF(J583&lt;&gt;"","",MID(F583, G583+1, H583-G583-1))</f>
        <v>851</v>
      </c>
      <c r="L583" s="2">
        <f>IF(J583&lt;&gt;"","",LEN(K583))</f>
        <v>3</v>
      </c>
      <c r="M583" s="2" t="str">
        <f>IF(J583&lt;&gt;"","",MID(F583, H583+1, I583-H583-1))</f>
        <v>963</v>
      </c>
      <c r="N583" s="2">
        <f>IF(J583&lt;&gt;"","",LEN(M583))</f>
        <v>3</v>
      </c>
      <c r="O583" s="2">
        <f>IF(J583&lt;&gt;"","",K583*M583)</f>
        <v>819513</v>
      </c>
      <c r="R583" s="1" t="str">
        <v>315,718)!'-@~</v>
      </c>
      <c r="S583" s="1" t="str">
        <v>511,35</v>
      </c>
      <c r="T583" s="1" t="str">
        <v>511</v>
      </c>
      <c r="U583" s="1" t="str">
        <v>35</v>
      </c>
      <c r="V583" s="1">
        <v>17885</v>
      </c>
    </row>
    <row r="584" spans="4:22" x14ac:dyDescent="0.3">
      <c r="D584" s="2">
        <v>581</v>
      </c>
      <c r="E584" s="2">
        <f>SEARCH("mul",$C$4,E583+1)</f>
        <v>14360</v>
      </c>
      <c r="F584" s="2" t="str">
        <f>MID($C$4,E584,$F$1)</f>
        <v>mul(45,859)[;se</v>
      </c>
      <c r="G584" s="3">
        <f>SEARCH("(",F584)</f>
        <v>4</v>
      </c>
      <c r="H584" s="3">
        <f>SEARCH(",",F584)</f>
        <v>7</v>
      </c>
      <c r="I584" s="3">
        <f>SEARCH(")",F584)</f>
        <v>11</v>
      </c>
      <c r="J584" s="2" t="str">
        <f>IF(OR(ISERROR(G584),ISERROR(H584),ISERROR(I584)),"CORRUPT!","")</f>
        <v/>
      </c>
      <c r="K584" s="2" t="str">
        <f>IF(J584&lt;&gt;"","",MID(F584, G584+1, H584-G584-1))</f>
        <v>45</v>
      </c>
      <c r="L584" s="2">
        <f>IF(J584&lt;&gt;"","",LEN(K584))</f>
        <v>2</v>
      </c>
      <c r="M584" s="2" t="str">
        <f>IF(J584&lt;&gt;"","",MID(F584, H584+1, I584-H584-1))</f>
        <v>859</v>
      </c>
      <c r="N584" s="2">
        <f>IF(J584&lt;&gt;"","",LEN(M584))</f>
        <v>3</v>
      </c>
      <c r="O584" s="2">
        <f>IF(J584&lt;&gt;"","",K584*M584)</f>
        <v>38655</v>
      </c>
      <c r="R584" s="1" t="str">
        <v>206,449):/[??#</v>
      </c>
      <c r="S584" s="1" t="str">
        <v>879,156</v>
      </c>
      <c r="T584" s="1" t="str">
        <v>879</v>
      </c>
      <c r="U584" s="1" t="str">
        <v>156</v>
      </c>
      <c r="V584" s="1">
        <v>137124</v>
      </c>
    </row>
    <row r="585" spans="4:22" x14ac:dyDescent="0.3">
      <c r="D585" s="2">
        <v>582</v>
      </c>
      <c r="E585" s="2">
        <f>SEARCH("mul",$C$4,E584+1)</f>
        <v>14399</v>
      </c>
      <c r="F585" s="2" t="str">
        <f>MID($C$4,E585,$F$1)</f>
        <v>mul(807,272):#f</v>
      </c>
      <c r="G585" s="3">
        <f>SEARCH("(",F585)</f>
        <v>4</v>
      </c>
      <c r="H585" s="3">
        <f>SEARCH(",",F585)</f>
        <v>8</v>
      </c>
      <c r="I585" s="3">
        <f>SEARCH(")",F585)</f>
        <v>12</v>
      </c>
      <c r="J585" s="2" t="str">
        <f>IF(OR(ISERROR(G585),ISERROR(H585),ISERROR(I585)),"CORRUPT!","")</f>
        <v/>
      </c>
      <c r="K585" s="2" t="str">
        <f>IF(J585&lt;&gt;"","",MID(F585, G585+1, H585-G585-1))</f>
        <v>807</v>
      </c>
      <c r="L585" s="2">
        <f>IF(J585&lt;&gt;"","",LEN(K585))</f>
        <v>3</v>
      </c>
      <c r="M585" s="2" t="str">
        <f>IF(J585&lt;&gt;"","",MID(F585, H585+1, I585-H585-1))</f>
        <v>272</v>
      </c>
      <c r="N585" s="2">
        <f>IF(J585&lt;&gt;"","",LEN(M585))</f>
        <v>3</v>
      </c>
      <c r="O585" s="2">
        <f>IF(J585&lt;&gt;"","",K585*M585)</f>
        <v>219504</v>
      </c>
      <c r="R585" s="1" t="str">
        <v>185,796)]~</v>
      </c>
      <c r="S585" s="1" t="str">
        <v>183,347</v>
      </c>
      <c r="T585" s="1" t="str">
        <v>183</v>
      </c>
      <c r="U585" s="1" t="str">
        <v>347</v>
      </c>
      <c r="V585" s="1">
        <v>63501</v>
      </c>
    </row>
    <row r="586" spans="4:22" x14ac:dyDescent="0.3">
      <c r="D586" s="2">
        <v>583</v>
      </c>
      <c r="E586" s="2">
        <f>SEARCH("mul",$C$4,E585+1)</f>
        <v>14419</v>
      </c>
      <c r="F586" s="2" t="str">
        <f>MID($C$4,E586,$F$1)</f>
        <v>mul(943,224)?$m</v>
      </c>
      <c r="G586" s="3">
        <f>SEARCH("(",F586)</f>
        <v>4</v>
      </c>
      <c r="H586" s="3">
        <f>SEARCH(",",F586)</f>
        <v>8</v>
      </c>
      <c r="I586" s="3">
        <f>SEARCH(")",F586)</f>
        <v>12</v>
      </c>
      <c r="J586" s="2" t="str">
        <f>IF(OR(ISERROR(G586),ISERROR(H586),ISERROR(I586)),"CORRUPT!","")</f>
        <v/>
      </c>
      <c r="K586" s="2" t="str">
        <f>IF(J586&lt;&gt;"","",MID(F586, G586+1, H586-G586-1))</f>
        <v>943</v>
      </c>
      <c r="L586" s="2">
        <f>IF(J586&lt;&gt;"","",LEN(K586))</f>
        <v>3</v>
      </c>
      <c r="M586" s="2" t="str">
        <f>IF(J586&lt;&gt;"","",MID(F586, H586+1, I586-H586-1))</f>
        <v>224</v>
      </c>
      <c r="N586" s="2">
        <f>IF(J586&lt;&gt;"","",LEN(M586))</f>
        <v>3</v>
      </c>
      <c r="O586" s="2">
        <f>IF(J586&lt;&gt;"","",K586*M586)</f>
        <v>211232</v>
      </c>
      <c r="R586" s="1" t="str">
        <v>597,268);) &gt;select()from()?)&lt;*</v>
      </c>
      <c r="S586" s="1" t="str">
        <v>638,126</v>
      </c>
      <c r="T586" s="1" t="str">
        <v>638</v>
      </c>
      <c r="U586" s="1" t="str">
        <v>126</v>
      </c>
      <c r="V586" s="1">
        <v>80388</v>
      </c>
    </row>
    <row r="587" spans="4:22" x14ac:dyDescent="0.3">
      <c r="D587" s="2">
        <v>584</v>
      </c>
      <c r="E587" s="2">
        <f>SEARCH("mul",$C$4,E586+1)</f>
        <v>14433</v>
      </c>
      <c r="F587" s="2" t="str">
        <f>MID($C$4,E587,$F$1)</f>
        <v>mul(415,924)'fr</v>
      </c>
      <c r="G587" s="3">
        <f>SEARCH("(",F587)</f>
        <v>4</v>
      </c>
      <c r="H587" s="3">
        <f>SEARCH(",",F587)</f>
        <v>8</v>
      </c>
      <c r="I587" s="3">
        <f>SEARCH(")",F587)</f>
        <v>12</v>
      </c>
      <c r="J587" s="2" t="str">
        <f>IF(OR(ISERROR(G587),ISERROR(H587),ISERROR(I587)),"CORRUPT!","")</f>
        <v/>
      </c>
      <c r="K587" s="2" t="str">
        <f>IF(J587&lt;&gt;"","",MID(F587, G587+1, H587-G587-1))</f>
        <v>415</v>
      </c>
      <c r="L587" s="2">
        <f>IF(J587&lt;&gt;"","",LEN(K587))</f>
        <v>3</v>
      </c>
      <c r="M587" s="2" t="str">
        <f>IF(J587&lt;&gt;"","",MID(F587, H587+1, I587-H587-1))</f>
        <v>924</v>
      </c>
      <c r="N587" s="2">
        <f>IF(J587&lt;&gt;"","",LEN(M587))</f>
        <v>3</v>
      </c>
      <c r="O587" s="2">
        <f>IF(J587&lt;&gt;"","",K587*M587)</f>
        <v>383460</v>
      </c>
      <c r="R587" s="1" t="str">
        <v>516,734)when()what()select()#$select()-?,$</v>
      </c>
      <c r="S587" s="1" t="str">
        <v>250+~select(</v>
      </c>
      <c r="T587" s="1" t="e">
        <v>#N/A</v>
      </c>
      <c r="U587" s="1" t="e">
        <v>#N/A</v>
      </c>
      <c r="V587" s="1">
        <v>0</v>
      </c>
    </row>
    <row r="588" spans="4:22" x14ac:dyDescent="0.3">
      <c r="D588" s="2">
        <v>585</v>
      </c>
      <c r="E588" s="2">
        <f>SEARCH("mul",$C$4,E587+1)</f>
        <v>14453</v>
      </c>
      <c r="F588" s="2" t="str">
        <f>MID($C$4,E588,$F$1)</f>
        <v>mul(204,131)}(&gt;</v>
      </c>
      <c r="G588" s="3">
        <f>SEARCH("(",F588)</f>
        <v>4</v>
      </c>
      <c r="H588" s="3">
        <f>SEARCH(",",F588)</f>
        <v>8</v>
      </c>
      <c r="I588" s="3">
        <f>SEARCH(")",F588)</f>
        <v>12</v>
      </c>
      <c r="J588" s="2" t="str">
        <f>IF(OR(ISERROR(G588),ISERROR(H588),ISERROR(I588)),"CORRUPT!","")</f>
        <v/>
      </c>
      <c r="K588" s="2" t="str">
        <f>IF(J588&lt;&gt;"","",MID(F588, G588+1, H588-G588-1))</f>
        <v>204</v>
      </c>
      <c r="L588" s="2">
        <f>IF(J588&lt;&gt;"","",LEN(K588))</f>
        <v>3</v>
      </c>
      <c r="M588" s="2" t="str">
        <f>IF(J588&lt;&gt;"","",MID(F588, H588+1, I588-H588-1))</f>
        <v>131</v>
      </c>
      <c r="N588" s="2">
        <f>IF(J588&lt;&gt;"","",LEN(M588))</f>
        <v>3</v>
      </c>
      <c r="O588" s="2">
        <f>IF(J588&lt;&gt;"","",K588*M588)</f>
        <v>26724</v>
      </c>
      <c r="R588" s="1" t="str">
        <v>366,627)%*{</v>
      </c>
      <c r="S588" s="1" t="str">
        <v>981,151</v>
      </c>
      <c r="T588" s="1" t="str">
        <v>981</v>
      </c>
      <c r="U588" s="1" t="str">
        <v>151</v>
      </c>
      <c r="V588" s="1">
        <v>148131</v>
      </c>
    </row>
    <row r="589" spans="4:22" x14ac:dyDescent="0.3">
      <c r="D589" s="2">
        <v>586</v>
      </c>
      <c r="E589" s="2">
        <f>SEARCH("mul",$C$4,E588+1)</f>
        <v>14479</v>
      </c>
      <c r="F589" s="2" t="str">
        <f>MID($C$4,E589,$F$1)</f>
        <v>mul(670,505)$mu</v>
      </c>
      <c r="G589" s="3">
        <f>SEARCH("(",F589)</f>
        <v>4</v>
      </c>
      <c r="H589" s="3">
        <f>SEARCH(",",F589)</f>
        <v>8</v>
      </c>
      <c r="I589" s="3">
        <f>SEARCH(")",F589)</f>
        <v>12</v>
      </c>
      <c r="J589" s="2" t="str">
        <f>IF(OR(ISERROR(G589),ISERROR(H589),ISERROR(I589)),"CORRUPT!","")</f>
        <v/>
      </c>
      <c r="K589" s="2" t="str">
        <f>IF(J589&lt;&gt;"","",MID(F589, G589+1, H589-G589-1))</f>
        <v>670</v>
      </c>
      <c r="L589" s="2">
        <f>IF(J589&lt;&gt;"","",LEN(K589))</f>
        <v>3</v>
      </c>
      <c r="M589" s="2" t="str">
        <f>IF(J589&lt;&gt;"","",MID(F589, H589+1, I589-H589-1))</f>
        <v>505</v>
      </c>
      <c r="N589" s="2">
        <f>IF(J589&lt;&gt;"","",LEN(M589))</f>
        <v>3</v>
      </c>
      <c r="O589" s="2">
        <f>IF(J589&lt;&gt;"","",K589*M589)</f>
        <v>338350</v>
      </c>
      <c r="R589" s="1" t="str">
        <v>62,39)&lt;what()</v>
      </c>
      <c r="S589" s="1" t="str">
        <v>92,876</v>
      </c>
      <c r="T589" s="1" t="str">
        <v>92</v>
      </c>
      <c r="U589" s="1" t="str">
        <v>876</v>
      </c>
      <c r="V589" s="1">
        <v>80592</v>
      </c>
    </row>
    <row r="590" spans="4:22" x14ac:dyDescent="0.3">
      <c r="D590" s="2">
        <v>587</v>
      </c>
      <c r="E590" s="2">
        <f>SEARCH("mul",$C$4,E589+1)</f>
        <v>14492</v>
      </c>
      <c r="F590" s="2" t="str">
        <f>MID($C$4,E590,$F$1)</f>
        <v>mul&amp;&amp;/&lt;don't()w</v>
      </c>
      <c r="G590" s="3">
        <f>SEARCH("(",F590)</f>
        <v>13</v>
      </c>
      <c r="H590" s="3" t="e">
        <f>SEARCH(",",F590)</f>
        <v>#VALUE!</v>
      </c>
      <c r="I590" s="3">
        <f>SEARCH(")",F590)</f>
        <v>14</v>
      </c>
      <c r="J590" s="2" t="str">
        <f>IF(OR(ISERROR(G590),ISERROR(H590),ISERROR(I590)),"CORRUPT!","")</f>
        <v>CORRUPT!</v>
      </c>
      <c r="K590" s="2" t="str">
        <f>IF(J590&lt;&gt;"","",MID(F590, G590+1, H590-G590-1))</f>
        <v/>
      </c>
      <c r="L590" s="2" t="str">
        <f>IF(J590&lt;&gt;"","",LEN(K590))</f>
        <v/>
      </c>
      <c r="M590" s="2" t="str">
        <f>IF(J590&lt;&gt;"","",MID(F590, H590+1, I590-H590-1))</f>
        <v/>
      </c>
      <c r="N590" s="2" t="str">
        <f>IF(J590&lt;&gt;"","",LEN(M590))</f>
        <v/>
      </c>
      <c r="O590" s="2" t="str">
        <f>IF(J590&lt;&gt;"","",K590*M590)</f>
        <v/>
      </c>
      <c r="R590" s="1" t="str">
        <v>511,35)</v>
      </c>
      <c r="S590" s="1" t="str">
        <v>827,341</v>
      </c>
      <c r="T590" s="1" t="str">
        <v>827</v>
      </c>
      <c r="U590" s="1" t="str">
        <v>341</v>
      </c>
      <c r="V590" s="1">
        <v>282007</v>
      </c>
    </row>
    <row r="591" spans="4:22" x14ac:dyDescent="0.3">
      <c r="D591" s="2">
        <v>588</v>
      </c>
      <c r="E591" s="2">
        <f>SEARCH("mul",$C$4,E590+1)</f>
        <v>14520</v>
      </c>
      <c r="F591" s="2" t="str">
        <f>MID($C$4,E591,$F$1)</f>
        <v>mul(672,267)mul</v>
      </c>
      <c r="G591" s="3">
        <f>SEARCH("(",F591)</f>
        <v>4</v>
      </c>
      <c r="H591" s="3">
        <f>SEARCH(",",F591)</f>
        <v>8</v>
      </c>
      <c r="I591" s="3">
        <f>SEARCH(")",F591)</f>
        <v>12</v>
      </c>
      <c r="J591" s="2" t="str">
        <f>IF(OR(ISERROR(G591),ISERROR(H591),ISERROR(I591)),"CORRUPT!","")</f>
        <v/>
      </c>
      <c r="K591" s="2" t="str">
        <f>IF(J591&lt;&gt;"","",MID(F591, G591+1, H591-G591-1))</f>
        <v>672</v>
      </c>
      <c r="L591" s="2">
        <f>IF(J591&lt;&gt;"","",LEN(K591))</f>
        <v>3</v>
      </c>
      <c r="M591" s="2" t="str">
        <f>IF(J591&lt;&gt;"","",MID(F591, H591+1, I591-H591-1))</f>
        <v>267</v>
      </c>
      <c r="N591" s="2">
        <f>IF(J591&lt;&gt;"","",LEN(M591))</f>
        <v>3</v>
      </c>
      <c r="O591" s="2">
        <f>IF(J591&lt;&gt;"","",K591*M591)</f>
        <v>179424</v>
      </c>
      <c r="R591" s="1" t="str">
        <v>879,156)-@]from()#select()</v>
      </c>
      <c r="S591" s="1" t="str">
        <v>407,705</v>
      </c>
      <c r="T591" s="1" t="str">
        <v>407</v>
      </c>
      <c r="U591" s="1" t="str">
        <v>705</v>
      </c>
      <c r="V591" s="1">
        <v>286935</v>
      </c>
    </row>
    <row r="592" spans="4:22" x14ac:dyDescent="0.3">
      <c r="D592" s="2">
        <v>589</v>
      </c>
      <c r="E592" s="2">
        <f>SEARCH("mul",$C$4,E591+1)</f>
        <v>14532</v>
      </c>
      <c r="F592" s="2" t="str">
        <f>MID($C$4,E592,$F$1)</f>
        <v>mul(540,120)&lt;$[</v>
      </c>
      <c r="G592" s="3">
        <f>SEARCH("(",F592)</f>
        <v>4</v>
      </c>
      <c r="H592" s="3">
        <f>SEARCH(",",F592)</f>
        <v>8</v>
      </c>
      <c r="I592" s="3">
        <f>SEARCH(")",F592)</f>
        <v>12</v>
      </c>
      <c r="J592" s="2" t="str">
        <f>IF(OR(ISERROR(G592),ISERROR(H592),ISERROR(I592)),"CORRUPT!","")</f>
        <v/>
      </c>
      <c r="K592" s="2" t="str">
        <f>IF(J592&lt;&gt;"","",MID(F592, G592+1, H592-G592-1))</f>
        <v>540</v>
      </c>
      <c r="L592" s="2">
        <f>IF(J592&lt;&gt;"","",LEN(K592))</f>
        <v>3</v>
      </c>
      <c r="M592" s="2" t="str">
        <f>IF(J592&lt;&gt;"","",MID(F592, H592+1, I592-H592-1))</f>
        <v>120</v>
      </c>
      <c r="N592" s="2">
        <f>IF(J592&lt;&gt;"","",LEN(M592))</f>
        <v>3</v>
      </c>
      <c r="O592" s="2">
        <f>IF(J592&lt;&gt;"","",K592*M592)</f>
        <v>64800</v>
      </c>
      <c r="R592" s="1" t="str">
        <v>247,306;!</v>
      </c>
      <c r="S592" s="1" t="str">
        <v>576,849</v>
      </c>
      <c r="T592" s="1" t="str">
        <v>576</v>
      </c>
      <c r="U592" s="1" t="str">
        <v>849</v>
      </c>
      <c r="V592" s="1">
        <v>489024</v>
      </c>
    </row>
    <row r="593" spans="4:22" x14ac:dyDescent="0.3">
      <c r="D593" s="2">
        <v>590</v>
      </c>
      <c r="E593" s="2">
        <f>SEARCH("mul",$C$4,E592+1)</f>
        <v>14551</v>
      </c>
      <c r="F593" s="2" t="str">
        <f>MID($C$4,E593,$F$1)</f>
        <v>mul(234,539)!%]</v>
      </c>
      <c r="G593" s="3">
        <f>SEARCH("(",F593)</f>
        <v>4</v>
      </c>
      <c r="H593" s="3">
        <f>SEARCH(",",F593)</f>
        <v>8</v>
      </c>
      <c r="I593" s="3">
        <f>SEARCH(")",F593)</f>
        <v>12</v>
      </c>
      <c r="J593" s="2" t="str">
        <f>IF(OR(ISERROR(G593),ISERROR(H593),ISERROR(I593)),"CORRUPT!","")</f>
        <v/>
      </c>
      <c r="K593" s="2" t="str">
        <f>IF(J593&lt;&gt;"","",MID(F593, G593+1, H593-G593-1))</f>
        <v>234</v>
      </c>
      <c r="L593" s="2">
        <f>IF(J593&lt;&gt;"","",LEN(K593))</f>
        <v>3</v>
      </c>
      <c r="M593" s="2" t="str">
        <f>IF(J593&lt;&gt;"","",MID(F593, H593+1, I593-H593-1))</f>
        <v>539</v>
      </c>
      <c r="N593" s="2">
        <f>IF(J593&lt;&gt;"","",LEN(M593))</f>
        <v>3</v>
      </c>
      <c r="O593" s="2">
        <f>IF(J593&lt;&gt;"","",K593*M593)</f>
        <v>126126</v>
      </c>
      <c r="R593" s="1" t="str">
        <v>183,347)&lt;</v>
      </c>
      <c r="S593" s="1" t="str">
        <v>482,236</v>
      </c>
      <c r="T593" s="1" t="str">
        <v>482</v>
      </c>
      <c r="U593" s="1" t="str">
        <v>236</v>
      </c>
      <c r="V593" s="1">
        <v>113752</v>
      </c>
    </row>
    <row r="594" spans="4:22" x14ac:dyDescent="0.3">
      <c r="D594" s="2">
        <v>591</v>
      </c>
      <c r="E594" s="2">
        <f>SEARCH("mul",$C$4,E593+1)</f>
        <v>14572</v>
      </c>
      <c r="F594" s="2" t="str">
        <f>MID($C$4,E594,$F$1)</f>
        <v>mul(30,143)*mul</v>
      </c>
      <c r="G594" s="3">
        <f>SEARCH("(",F594)</f>
        <v>4</v>
      </c>
      <c r="H594" s="3">
        <f>SEARCH(",",F594)</f>
        <v>7</v>
      </c>
      <c r="I594" s="3">
        <f>SEARCH(")",F594)</f>
        <v>11</v>
      </c>
      <c r="J594" s="2" t="str">
        <f>IF(OR(ISERROR(G594),ISERROR(H594),ISERROR(I594)),"CORRUPT!","")</f>
        <v/>
      </c>
      <c r="K594" s="2" t="str">
        <f>IF(J594&lt;&gt;"","",MID(F594, G594+1, H594-G594-1))</f>
        <v>30</v>
      </c>
      <c r="L594" s="2">
        <f>IF(J594&lt;&gt;"","",LEN(K594))</f>
        <v>2</v>
      </c>
      <c r="M594" s="2" t="str">
        <f>IF(J594&lt;&gt;"","",MID(F594, H594+1, I594-H594-1))</f>
        <v>143</v>
      </c>
      <c r="N594" s="2">
        <f>IF(J594&lt;&gt;"","",LEN(M594))</f>
        <v>3</v>
      </c>
      <c r="O594" s="2">
        <f>IF(J594&lt;&gt;"","",K594*M594)</f>
        <v>4290</v>
      </c>
      <c r="R594" s="1" t="str">
        <v>638,126)+&gt;^/$from()+</v>
      </c>
      <c r="S594" s="1" t="str">
        <v>544%who(</v>
      </c>
      <c r="T594" s="1" t="e">
        <v>#N/A</v>
      </c>
      <c r="U594" s="1" t="e">
        <v>#N/A</v>
      </c>
      <c r="V594" s="1">
        <v>0</v>
      </c>
    </row>
    <row r="595" spans="4:22" x14ac:dyDescent="0.3">
      <c r="D595" s="2">
        <v>592</v>
      </c>
      <c r="E595" s="2">
        <f>SEARCH("mul",$C$4,E594+1)</f>
        <v>14584</v>
      </c>
      <c r="F595" s="2" t="str">
        <f>MID($C$4,E595,$F$1)</f>
        <v>mul(545,761)whe</v>
      </c>
      <c r="G595" s="3">
        <f>SEARCH("(",F595)</f>
        <v>4</v>
      </c>
      <c r="H595" s="3">
        <f>SEARCH(",",F595)</f>
        <v>8</v>
      </c>
      <c r="I595" s="3">
        <f>SEARCH(")",F595)</f>
        <v>12</v>
      </c>
      <c r="J595" s="2" t="str">
        <f>IF(OR(ISERROR(G595),ISERROR(H595),ISERROR(I595)),"CORRUPT!","")</f>
        <v/>
      </c>
      <c r="K595" s="2" t="str">
        <f>IF(J595&lt;&gt;"","",MID(F595, G595+1, H595-G595-1))</f>
        <v>545</v>
      </c>
      <c r="L595" s="2">
        <f>IF(J595&lt;&gt;"","",LEN(K595))</f>
        <v>3</v>
      </c>
      <c r="M595" s="2" t="str">
        <f>IF(J595&lt;&gt;"","",MID(F595, H595+1, I595-H595-1))</f>
        <v>761</v>
      </c>
      <c r="N595" s="2">
        <f>IF(J595&lt;&gt;"","",LEN(M595))</f>
        <v>3</v>
      </c>
      <c r="O595" s="2">
        <f>IF(J595&lt;&gt;"","",K595*M595)</f>
        <v>414745</v>
      </c>
      <c r="R595" s="1" t="str">
        <v>250+~select()!from(){</v>
      </c>
      <c r="S595" s="1" t="str">
        <v>113,286</v>
      </c>
      <c r="T595" s="1" t="str">
        <v>113</v>
      </c>
      <c r="U595" s="1" t="str">
        <v>286</v>
      </c>
      <c r="V595" s="1">
        <v>32318</v>
      </c>
    </row>
    <row r="596" spans="4:22" x14ac:dyDescent="0.3">
      <c r="D596" s="2">
        <v>593</v>
      </c>
      <c r="E596" s="2">
        <f>SEARCH("mul",$C$4,E595+1)</f>
        <v>14624</v>
      </c>
      <c r="F596" s="2" t="str">
        <f>MID($C$4,E596,$F$1)</f>
        <v>mul(673,752why(</v>
      </c>
      <c r="G596" s="3">
        <f>SEARCH("(",F596)</f>
        <v>4</v>
      </c>
      <c r="H596" s="3">
        <f>SEARCH(",",F596)</f>
        <v>8</v>
      </c>
      <c r="I596" s="3" t="e">
        <f>SEARCH(")",F596)</f>
        <v>#VALUE!</v>
      </c>
      <c r="J596" s="2" t="str">
        <f>IF(OR(ISERROR(G596),ISERROR(H596),ISERROR(I596)),"CORRUPT!","")</f>
        <v>CORRUPT!</v>
      </c>
      <c r="K596" s="2" t="str">
        <f>IF(J596&lt;&gt;"","",MID(F596, G596+1, H596-G596-1))</f>
        <v/>
      </c>
      <c r="L596" s="2" t="str">
        <f>IF(J596&lt;&gt;"","",LEN(K596))</f>
        <v/>
      </c>
      <c r="M596" s="2" t="str">
        <f>IF(J596&lt;&gt;"","",MID(F596, H596+1, I596-H596-1))</f>
        <v/>
      </c>
      <c r="N596" s="2" t="str">
        <f>IF(J596&lt;&gt;"","",LEN(M596))</f>
        <v/>
      </c>
      <c r="O596" s="2" t="str">
        <f>IF(J596&lt;&gt;"","",K596*M596)</f>
        <v/>
      </c>
      <c r="R596" s="1" t="str">
        <v>981,151)#}</v>
      </c>
      <c r="S596" s="1" t="str">
        <v>234,452</v>
      </c>
      <c r="T596" s="1" t="str">
        <v>234</v>
      </c>
      <c r="U596" s="1" t="str">
        <v>452</v>
      </c>
      <c r="V596" s="1">
        <v>105768</v>
      </c>
    </row>
    <row r="597" spans="4:22" x14ac:dyDescent="0.3">
      <c r="D597" s="2">
        <v>594</v>
      </c>
      <c r="E597" s="2">
        <f>SEARCH("mul",$C$4,E596+1)</f>
        <v>14648</v>
      </c>
      <c r="F597" s="2" t="str">
        <f>MID($C$4,E597,$F$1)</f>
        <v>mul(111,407)fro</v>
      </c>
      <c r="G597" s="3">
        <f>SEARCH("(",F597)</f>
        <v>4</v>
      </c>
      <c r="H597" s="3">
        <f>SEARCH(",",F597)</f>
        <v>8</v>
      </c>
      <c r="I597" s="3">
        <f>SEARCH(")",F597)</f>
        <v>12</v>
      </c>
      <c r="J597" s="2" t="str">
        <f>IF(OR(ISERROR(G597),ISERROR(H597),ISERROR(I597)),"CORRUPT!","")</f>
        <v/>
      </c>
      <c r="K597" s="2" t="str">
        <f>IF(J597&lt;&gt;"","",MID(F597, G597+1, H597-G597-1))</f>
        <v>111</v>
      </c>
      <c r="L597" s="2">
        <f>IF(J597&lt;&gt;"","",LEN(K597))</f>
        <v>3</v>
      </c>
      <c r="M597" s="2" t="str">
        <f>IF(J597&lt;&gt;"","",MID(F597, H597+1, I597-H597-1))</f>
        <v>407</v>
      </c>
      <c r="N597" s="2">
        <f>IF(J597&lt;&gt;"","",LEN(M597))</f>
        <v>3</v>
      </c>
      <c r="O597" s="2">
        <f>IF(J597&lt;&gt;"","",K597*M597)</f>
        <v>45177</v>
      </c>
      <c r="R597" s="1" t="str">
        <v>92,876))how()who(363,963)</v>
      </c>
      <c r="S597" s="1" t="str">
        <v>874,529</v>
      </c>
      <c r="T597" s="1" t="str">
        <v>874</v>
      </c>
      <c r="U597" s="1" t="str">
        <v>529</v>
      </c>
      <c r="V597" s="1">
        <v>462346</v>
      </c>
    </row>
    <row r="598" spans="4:22" x14ac:dyDescent="0.3">
      <c r="D598" s="2">
        <v>595</v>
      </c>
      <c r="E598" s="2">
        <f>SEARCH("mul",$C$4,E597+1)</f>
        <v>14667</v>
      </c>
      <c r="F598" s="2" t="str">
        <f>MID($C$4,E598,$F$1)</f>
        <v>mul(860,90)#who</v>
      </c>
      <c r="G598" s="3">
        <f>SEARCH("(",F598)</f>
        <v>4</v>
      </c>
      <c r="H598" s="3">
        <f>SEARCH(",",F598)</f>
        <v>8</v>
      </c>
      <c r="I598" s="3">
        <f>SEARCH(")",F598)</f>
        <v>11</v>
      </c>
      <c r="J598" s="2" t="str">
        <f>IF(OR(ISERROR(G598),ISERROR(H598),ISERROR(I598)),"CORRUPT!","")</f>
        <v/>
      </c>
      <c r="K598" s="2" t="str">
        <f>IF(J598&lt;&gt;"","",MID(F598, G598+1, H598-G598-1))</f>
        <v>860</v>
      </c>
      <c r="L598" s="2">
        <f>IF(J598&lt;&gt;"","",LEN(K598))</f>
        <v>3</v>
      </c>
      <c r="M598" s="2" t="str">
        <f>IF(J598&lt;&gt;"","",MID(F598, H598+1, I598-H598-1))</f>
        <v>90</v>
      </c>
      <c r="N598" s="2">
        <f>IF(J598&lt;&gt;"","",LEN(M598))</f>
        <v>2</v>
      </c>
      <c r="O598" s="2">
        <f>IF(J598&lt;&gt;"","",K598*M598)</f>
        <v>77400</v>
      </c>
      <c r="R598" s="1" t="str">
        <v>827,341)::how()~&amp;</v>
      </c>
      <c r="S598" s="1" t="str">
        <v>168,89</v>
      </c>
      <c r="T598" s="1" t="str">
        <v>168</v>
      </c>
      <c r="U598" s="1" t="str">
        <v>89</v>
      </c>
      <c r="V598" s="1">
        <v>14952</v>
      </c>
    </row>
    <row r="599" spans="4:22" x14ac:dyDescent="0.3">
      <c r="D599" s="2">
        <v>596</v>
      </c>
      <c r="E599" s="2">
        <f>SEARCH("mul",$C$4,E598+1)</f>
        <v>14696</v>
      </c>
      <c r="F599" s="2" t="str">
        <f>MID($C$4,E599,$F$1)</f>
        <v>mul(217,327)wha</v>
      </c>
      <c r="G599" s="3">
        <f>SEARCH("(",F599)</f>
        <v>4</v>
      </c>
      <c r="H599" s="3">
        <f>SEARCH(",",F599)</f>
        <v>8</v>
      </c>
      <c r="I599" s="3">
        <f>SEARCH(")",F599)</f>
        <v>12</v>
      </c>
      <c r="J599" s="2" t="str">
        <f>IF(OR(ISERROR(G599),ISERROR(H599),ISERROR(I599)),"CORRUPT!","")</f>
        <v/>
      </c>
      <c r="K599" s="2" t="str">
        <f>IF(J599&lt;&gt;"","",MID(F599, G599+1, H599-G599-1))</f>
        <v>217</v>
      </c>
      <c r="L599" s="2">
        <f>IF(J599&lt;&gt;"","",LEN(K599))</f>
        <v>3</v>
      </c>
      <c r="M599" s="2" t="str">
        <f>IF(J599&lt;&gt;"","",MID(F599, H599+1, I599-H599-1))</f>
        <v>327</v>
      </c>
      <c r="N599" s="2">
        <f>IF(J599&lt;&gt;"","",LEN(M599))</f>
        <v>3</v>
      </c>
      <c r="O599" s="2">
        <f>IF(J599&lt;&gt;"","",K599*M599)</f>
        <v>70959</v>
      </c>
      <c r="R599" s="1" t="str">
        <v>407,705)#+&gt;</v>
      </c>
      <c r="S599" s="1" t="str">
        <v>811,383</v>
      </c>
      <c r="T599" s="1" t="str">
        <v>811</v>
      </c>
      <c r="U599" s="1" t="str">
        <v>383</v>
      </c>
      <c r="V599" s="1">
        <v>310613</v>
      </c>
    </row>
    <row r="600" spans="4:22" x14ac:dyDescent="0.3">
      <c r="D600" s="2">
        <v>597</v>
      </c>
      <c r="E600" s="2">
        <f>SEARCH("mul",$C$4,E599+1)</f>
        <v>14723</v>
      </c>
      <c r="F600" s="2" t="str">
        <f>MID($C$4,E600,$F$1)</f>
        <v>mul(729,143)whe</v>
      </c>
      <c r="G600" s="3">
        <f>SEARCH("(",F600)</f>
        <v>4</v>
      </c>
      <c r="H600" s="3">
        <f>SEARCH(",",F600)</f>
        <v>8</v>
      </c>
      <c r="I600" s="3">
        <f>SEARCH(")",F600)</f>
        <v>12</v>
      </c>
      <c r="J600" s="2" t="str">
        <f>IF(OR(ISERROR(G600),ISERROR(H600),ISERROR(I600)),"CORRUPT!","")</f>
        <v/>
      </c>
      <c r="K600" s="2" t="str">
        <f>IF(J600&lt;&gt;"","",MID(F600, G600+1, H600-G600-1))</f>
        <v>729</v>
      </c>
      <c r="L600" s="2">
        <f>IF(J600&lt;&gt;"","",LEN(K600))</f>
        <v>3</v>
      </c>
      <c r="M600" s="2" t="str">
        <f>IF(J600&lt;&gt;"","",MID(F600, H600+1, I600-H600-1))</f>
        <v>143</v>
      </c>
      <c r="N600" s="2">
        <f>IF(J600&lt;&gt;"","",LEN(M600))</f>
        <v>3</v>
      </c>
      <c r="O600" s="2">
        <f>IF(J600&lt;&gt;"","",K600*M600)</f>
        <v>104247</v>
      </c>
      <c r="R600" s="1" t="str">
        <v>576,849)</v>
      </c>
      <c r="S600" s="1" t="str">
        <v>770,725</v>
      </c>
      <c r="T600" s="1" t="str">
        <v>770</v>
      </c>
      <c r="U600" s="1" t="str">
        <v>725</v>
      </c>
      <c r="V600" s="1">
        <v>558250</v>
      </c>
    </row>
    <row r="601" spans="4:22" x14ac:dyDescent="0.3">
      <c r="D601" s="2">
        <v>598</v>
      </c>
      <c r="E601" s="2">
        <f>SEARCH("mul",$C$4,E600+1)</f>
        <v>14749</v>
      </c>
      <c r="F601" s="2" t="str">
        <f>MID($C$4,E601,$F$1)</f>
        <v>mul(362,874)$ho</v>
      </c>
      <c r="G601" s="3">
        <f>SEARCH("(",F601)</f>
        <v>4</v>
      </c>
      <c r="H601" s="3">
        <f>SEARCH(",",F601)</f>
        <v>8</v>
      </c>
      <c r="I601" s="3">
        <f>SEARCH(")",F601)</f>
        <v>12</v>
      </c>
      <c r="J601" s="2" t="str">
        <f>IF(OR(ISERROR(G601),ISERROR(H601),ISERROR(I601)),"CORRUPT!","")</f>
        <v/>
      </c>
      <c r="K601" s="2" t="str">
        <f>IF(J601&lt;&gt;"","",MID(F601, G601+1, H601-G601-1))</f>
        <v>362</v>
      </c>
      <c r="L601" s="2">
        <f>IF(J601&lt;&gt;"","",LEN(K601))</f>
        <v>3</v>
      </c>
      <c r="M601" s="2" t="str">
        <f>IF(J601&lt;&gt;"","",MID(F601, H601+1, I601-H601-1))</f>
        <v>874</v>
      </c>
      <c r="N601" s="2">
        <f>IF(J601&lt;&gt;"","",LEN(M601))</f>
        <v>3</v>
      </c>
      <c r="O601" s="2">
        <f>IF(J601&lt;&gt;"","",K601*M601)</f>
        <v>316388</v>
      </c>
      <c r="R601" s="1" t="str">
        <v>482,236)(^* who(),what()</v>
      </c>
      <c r="S601" s="1" t="str">
        <v>564,858</v>
      </c>
      <c r="T601" s="1" t="str">
        <v>564</v>
      </c>
      <c r="U601" s="1" t="str">
        <v>858</v>
      </c>
      <c r="V601" s="1">
        <v>483912</v>
      </c>
    </row>
    <row r="602" spans="4:22" x14ac:dyDescent="0.3">
      <c r="D602" s="2">
        <v>599</v>
      </c>
      <c r="E602" s="2">
        <f>SEARCH("mul",$C$4,E601+1)</f>
        <v>14781</v>
      </c>
      <c r="F602" s="2" t="str">
        <f>MID($C$4,E602,$F$1)</f>
        <v>mul(315,718)!'-</v>
      </c>
      <c r="G602" s="3">
        <f>SEARCH("(",F602)</f>
        <v>4</v>
      </c>
      <c r="H602" s="3">
        <f>SEARCH(",",F602)</f>
        <v>8</v>
      </c>
      <c r="I602" s="3">
        <f>SEARCH(")",F602)</f>
        <v>12</v>
      </c>
      <c r="J602" s="2" t="str">
        <f>IF(OR(ISERROR(G602),ISERROR(H602),ISERROR(I602)),"CORRUPT!","")</f>
        <v/>
      </c>
      <c r="K602" s="2" t="str">
        <f>IF(J602&lt;&gt;"","",MID(F602, G602+1, H602-G602-1))</f>
        <v>315</v>
      </c>
      <c r="L602" s="2">
        <f>IF(J602&lt;&gt;"","",LEN(K602))</f>
        <v>3</v>
      </c>
      <c r="M602" s="2" t="str">
        <f>IF(J602&lt;&gt;"","",MID(F602, H602+1, I602-H602-1))</f>
        <v>718</v>
      </c>
      <c r="N602" s="2">
        <f>IF(J602&lt;&gt;"","",LEN(M602))</f>
        <v>3</v>
      </c>
      <c r="O602" s="2">
        <f>IF(J602&lt;&gt;"","",K602*M602)</f>
        <v>226170</v>
      </c>
      <c r="R602" s="1" t="str">
        <v>544%who()('&gt;*!$@,}</v>
      </c>
      <c r="S602" s="1" t="str">
        <v>248,563</v>
      </c>
      <c r="T602" s="1" t="str">
        <v>248</v>
      </c>
      <c r="U602" s="1" t="str">
        <v>563</v>
      </c>
      <c r="V602" s="1">
        <v>139624</v>
      </c>
    </row>
    <row r="603" spans="4:22" x14ac:dyDescent="0.3">
      <c r="D603" s="2">
        <v>600</v>
      </c>
      <c r="E603" s="2">
        <f>SEARCH("mul",$C$4,E602+1)</f>
        <v>14798</v>
      </c>
      <c r="F603" s="2" t="str">
        <f>MID($C$4,E603,$F$1)</f>
        <v>mul(206,449):/[</v>
      </c>
      <c r="G603" s="3">
        <f>SEARCH("(",F603)</f>
        <v>4</v>
      </c>
      <c r="H603" s="3">
        <f>SEARCH(",",F603)</f>
        <v>8</v>
      </c>
      <c r="I603" s="3">
        <f>SEARCH(")",F603)</f>
        <v>12</v>
      </c>
      <c r="J603" s="2" t="str">
        <f>IF(OR(ISERROR(G603),ISERROR(H603),ISERROR(I603)),"CORRUPT!","")</f>
        <v/>
      </c>
      <c r="K603" s="2" t="str">
        <f>IF(J603&lt;&gt;"","",MID(F603, G603+1, H603-G603-1))</f>
        <v>206</v>
      </c>
      <c r="L603" s="2">
        <f>IF(J603&lt;&gt;"","",LEN(K603))</f>
        <v>3</v>
      </c>
      <c r="M603" s="2" t="str">
        <f>IF(J603&lt;&gt;"","",MID(F603, H603+1, I603-H603-1))</f>
        <v>449</v>
      </c>
      <c r="N603" s="2">
        <f>IF(J603&lt;&gt;"","",LEN(M603))</f>
        <v>3</v>
      </c>
      <c r="O603" s="2">
        <f>IF(J603&lt;&gt;"","",K603*M603)</f>
        <v>92494</v>
      </c>
      <c r="R603" s="1" t="str">
        <v>113,286)when()'from(685,677)do()%from(614,566)-select()$,-</v>
      </c>
      <c r="S603" s="1" t="str">
        <v>254,676</v>
      </c>
      <c r="T603" s="1" t="str">
        <v>254</v>
      </c>
      <c r="U603" s="1" t="str">
        <v>676</v>
      </c>
      <c r="V603" s="1">
        <v>171704</v>
      </c>
    </row>
    <row r="604" spans="4:22" x14ac:dyDescent="0.3">
      <c r="D604" s="2">
        <v>601</v>
      </c>
      <c r="E604" s="2">
        <f>SEARCH("mul",$C$4,E603+1)</f>
        <v>14816</v>
      </c>
      <c r="F604" s="2" t="str">
        <f>MID($C$4,E604,$F$1)</f>
        <v>mul(185,796)]~m</v>
      </c>
      <c r="G604" s="3">
        <f>SEARCH("(",F604)</f>
        <v>4</v>
      </c>
      <c r="H604" s="3">
        <f>SEARCH(",",F604)</f>
        <v>8</v>
      </c>
      <c r="I604" s="3">
        <f>SEARCH(")",F604)</f>
        <v>12</v>
      </c>
      <c r="J604" s="2" t="str">
        <f>IF(OR(ISERROR(G604),ISERROR(H604),ISERROR(I604)),"CORRUPT!","")</f>
        <v/>
      </c>
      <c r="K604" s="2" t="str">
        <f>IF(J604&lt;&gt;"","",MID(F604, G604+1, H604-G604-1))</f>
        <v>185</v>
      </c>
      <c r="L604" s="2">
        <f>IF(J604&lt;&gt;"","",LEN(K604))</f>
        <v>3</v>
      </c>
      <c r="M604" s="2" t="str">
        <f>IF(J604&lt;&gt;"","",MID(F604, H604+1, I604-H604-1))</f>
        <v>796</v>
      </c>
      <c r="N604" s="2">
        <f>IF(J604&lt;&gt;"","",LEN(M604))</f>
        <v>3</v>
      </c>
      <c r="O604" s="2">
        <f>IF(J604&lt;&gt;"","",K604*M604)</f>
        <v>147260</v>
      </c>
      <c r="R604" s="1" t="str">
        <v>234,452)}&gt;[&amp;who(){#from()&amp;don't()why()select(645,338):why(840,833)+#</v>
      </c>
      <c r="S604" s="1" t="str">
        <v>250,339</v>
      </c>
      <c r="T604" s="1" t="str">
        <v>250</v>
      </c>
      <c r="U604" s="1" t="str">
        <v>339</v>
      </c>
      <c r="V604" s="1">
        <v>84750</v>
      </c>
    </row>
    <row r="605" spans="4:22" x14ac:dyDescent="0.3">
      <c r="D605" s="2">
        <v>602</v>
      </c>
      <c r="E605" s="2">
        <f>SEARCH("mul",$C$4,E604+1)</f>
        <v>14830</v>
      </c>
      <c r="F605" s="2" t="str">
        <f>MID($C$4,E605,$F$1)</f>
        <v xml:space="preserve">mul(597,268);) </v>
      </c>
      <c r="G605" s="3">
        <f>SEARCH("(",F605)</f>
        <v>4</v>
      </c>
      <c r="H605" s="3">
        <f>SEARCH(",",F605)</f>
        <v>8</v>
      </c>
      <c r="I605" s="3">
        <f>SEARCH(")",F605)</f>
        <v>12</v>
      </c>
      <c r="J605" s="2" t="str">
        <f>IF(OR(ISERROR(G605),ISERROR(H605),ISERROR(I605)),"CORRUPT!","")</f>
        <v/>
      </c>
      <c r="K605" s="2" t="str">
        <f>IF(J605&lt;&gt;"","",MID(F605, G605+1, H605-G605-1))</f>
        <v>597</v>
      </c>
      <c r="L605" s="2">
        <f>IF(J605&lt;&gt;"","",LEN(K605))</f>
        <v>3</v>
      </c>
      <c r="M605" s="2" t="str">
        <f>IF(J605&lt;&gt;"","",MID(F605, H605+1, I605-H605-1))</f>
        <v>268</v>
      </c>
      <c r="N605" s="2">
        <f>IF(J605&lt;&gt;"","",LEN(M605))</f>
        <v>3</v>
      </c>
      <c r="O605" s="2">
        <f>IF(J605&lt;&gt;"","",K605*M605)</f>
        <v>159996</v>
      </c>
      <c r="R605" s="1" t="str">
        <v>874,529)}&gt;what()select()why()</v>
      </c>
      <c r="S605" s="1" t="str">
        <v>410,838</v>
      </c>
      <c r="T605" s="1" t="str">
        <v>410</v>
      </c>
      <c r="U605" s="1" t="str">
        <v>838</v>
      </c>
      <c r="V605" s="1">
        <v>343580</v>
      </c>
    </row>
    <row r="606" spans="4:22" x14ac:dyDescent="0.3">
      <c r="D606" s="2">
        <v>603</v>
      </c>
      <c r="E606" s="2">
        <f>SEARCH("mul",$C$4,E605+1)</f>
        <v>14864</v>
      </c>
      <c r="F606" s="2" t="str">
        <f>MID($C$4,E606,$F$1)</f>
        <v>mul(516,734)whe</v>
      </c>
      <c r="G606" s="3">
        <f>SEARCH("(",F606)</f>
        <v>4</v>
      </c>
      <c r="H606" s="3">
        <f>SEARCH(",",F606)</f>
        <v>8</v>
      </c>
      <c r="I606" s="3">
        <f>SEARCH(")",F606)</f>
        <v>12</v>
      </c>
      <c r="J606" s="2" t="str">
        <f>IF(OR(ISERROR(G606),ISERROR(H606),ISERROR(I606)),"CORRUPT!","")</f>
        <v/>
      </c>
      <c r="K606" s="2" t="str">
        <f>IF(J606&lt;&gt;"","",MID(F606, G606+1, H606-G606-1))</f>
        <v>516</v>
      </c>
      <c r="L606" s="2">
        <f>IF(J606&lt;&gt;"","",LEN(K606))</f>
        <v>3</v>
      </c>
      <c r="M606" s="2" t="str">
        <f>IF(J606&lt;&gt;"","",MID(F606, H606+1, I606-H606-1))</f>
        <v>734</v>
      </c>
      <c r="N606" s="2">
        <f>IF(J606&lt;&gt;"","",LEN(M606))</f>
        <v>3</v>
      </c>
      <c r="O606" s="2">
        <f>IF(J606&lt;&gt;"","",K606*M606)</f>
        <v>378744</v>
      </c>
      <c r="R606" s="1" t="str">
        <v>168,89)}{*when()}do()when()*?$^;?)]</v>
      </c>
      <c r="S606" s="1" t="str">
        <v>102,412</v>
      </c>
      <c r="T606" s="1" t="str">
        <v>102</v>
      </c>
      <c r="U606" s="1" t="str">
        <v>412</v>
      </c>
      <c r="V606" s="1">
        <v>42024</v>
      </c>
    </row>
    <row r="607" spans="4:22" x14ac:dyDescent="0.3">
      <c r="D607" s="2">
        <v>604</v>
      </c>
      <c r="E607" s="2">
        <f>SEARCH("mul",$C$4,E606+1)</f>
        <v>14910</v>
      </c>
      <c r="F607" s="2" t="str">
        <f>MID($C$4,E607,$F$1)</f>
        <v>mul(366,627)%*{</v>
      </c>
      <c r="G607" s="3">
        <f>SEARCH("(",F607)</f>
        <v>4</v>
      </c>
      <c r="H607" s="3">
        <f>SEARCH(",",F607)</f>
        <v>8</v>
      </c>
      <c r="I607" s="3">
        <f>SEARCH(")",F607)</f>
        <v>12</v>
      </c>
      <c r="J607" s="2" t="str">
        <f>IF(OR(ISERROR(G607),ISERROR(H607),ISERROR(I607)),"CORRUPT!","")</f>
        <v/>
      </c>
      <c r="K607" s="2" t="str">
        <f>IF(J607&lt;&gt;"","",MID(F607, G607+1, H607-G607-1))</f>
        <v>366</v>
      </c>
      <c r="L607" s="2">
        <f>IF(J607&lt;&gt;"","",LEN(K607))</f>
        <v>3</v>
      </c>
      <c r="M607" s="2" t="str">
        <f>IF(J607&lt;&gt;"","",MID(F607, H607+1, I607-H607-1))</f>
        <v>627</v>
      </c>
      <c r="N607" s="2">
        <f>IF(J607&lt;&gt;"","",LEN(M607))</f>
        <v>3</v>
      </c>
      <c r="O607" s="2">
        <f>IF(J607&lt;&gt;"","",K607*M607)</f>
        <v>229482</v>
      </c>
      <c r="R607" s="1" t="str">
        <v>811,383)!</v>
      </c>
      <c r="S607" s="1" t="str">
        <v>173,786</v>
      </c>
      <c r="T607" s="1" t="str">
        <v>173</v>
      </c>
      <c r="U607" s="1" t="str">
        <v>786</v>
      </c>
      <c r="V607" s="1">
        <v>135978</v>
      </c>
    </row>
    <row r="608" spans="4:22" x14ac:dyDescent="0.3">
      <c r="D608" s="2">
        <v>605</v>
      </c>
      <c r="E608" s="2">
        <f>SEARCH("mul",$C$4,E607+1)</f>
        <v>14925</v>
      </c>
      <c r="F608" s="2" t="str">
        <f>MID($C$4,E608,$F$1)</f>
        <v>mul(62,39)&lt;what</v>
      </c>
      <c r="G608" s="3">
        <f>SEARCH("(",F608)</f>
        <v>4</v>
      </c>
      <c r="H608" s="3">
        <f>SEARCH(",",F608)</f>
        <v>7</v>
      </c>
      <c r="I608" s="3">
        <f>SEARCH(")",F608)</f>
        <v>10</v>
      </c>
      <c r="J608" s="2" t="str">
        <f>IF(OR(ISERROR(G608),ISERROR(H608),ISERROR(I608)),"CORRUPT!","")</f>
        <v/>
      </c>
      <c r="K608" s="2" t="str">
        <f>IF(J608&lt;&gt;"","",MID(F608, G608+1, H608-G608-1))</f>
        <v>62</v>
      </c>
      <c r="L608" s="2">
        <f>IF(J608&lt;&gt;"","",LEN(K608))</f>
        <v>2</v>
      </c>
      <c r="M608" s="2" t="str">
        <f>IF(J608&lt;&gt;"","",MID(F608, H608+1, I608-H608-1))</f>
        <v>39</v>
      </c>
      <c r="N608" s="2">
        <f>IF(J608&lt;&gt;"","",LEN(M608))</f>
        <v>2</v>
      </c>
      <c r="O608" s="2">
        <f>IF(J608&lt;&gt;"","",K608*M608)</f>
        <v>2418</v>
      </c>
      <c r="R608" s="1" t="str">
        <v>770,725):!*#[from()from()from(487,367);:</v>
      </c>
      <c r="S608" s="1" t="str">
        <v>92,40</v>
      </c>
      <c r="T608" s="1" t="str">
        <v>92</v>
      </c>
      <c r="U608" s="1" t="str">
        <v>40</v>
      </c>
      <c r="V608" s="1">
        <v>3680</v>
      </c>
    </row>
    <row r="609" spans="4:22" x14ac:dyDescent="0.3">
      <c r="D609" s="2">
        <v>606</v>
      </c>
      <c r="E609" s="2">
        <f>SEARCH("mul",$C$4,E608+1)</f>
        <v>14942</v>
      </c>
      <c r="F609" s="2" t="str">
        <f>MID($C$4,E609,$F$1)</f>
        <v>mul(511,35)mul(</v>
      </c>
      <c r="G609" s="3">
        <f>SEARCH("(",F609)</f>
        <v>4</v>
      </c>
      <c r="H609" s="3">
        <f>SEARCH(",",F609)</f>
        <v>8</v>
      </c>
      <c r="I609" s="3">
        <f>SEARCH(")",F609)</f>
        <v>11</v>
      </c>
      <c r="J609" s="2" t="str">
        <f>IF(OR(ISERROR(G609),ISERROR(H609),ISERROR(I609)),"CORRUPT!","")</f>
        <v/>
      </c>
      <c r="K609" s="2" t="str">
        <f>IF(J609&lt;&gt;"","",MID(F609, G609+1, H609-G609-1))</f>
        <v>511</v>
      </c>
      <c r="L609" s="2">
        <f>IF(J609&lt;&gt;"","",LEN(K609))</f>
        <v>3</v>
      </c>
      <c r="M609" s="2" t="str">
        <f>IF(J609&lt;&gt;"","",MID(F609, H609+1, I609-H609-1))</f>
        <v>35</v>
      </c>
      <c r="N609" s="2">
        <f>IF(J609&lt;&gt;"","",LEN(M609))</f>
        <v>2</v>
      </c>
      <c r="O609" s="2">
        <f>IF(J609&lt;&gt;"","",K609*M609)</f>
        <v>17885</v>
      </c>
      <c r="R609" s="1" t="str">
        <v>564,858)(</v>
      </c>
      <c r="S609" s="1" t="str">
        <v>888,277</v>
      </c>
      <c r="T609" s="1" t="str">
        <v>888</v>
      </c>
      <c r="U609" s="1" t="str">
        <v>277</v>
      </c>
      <c r="V609" s="1">
        <v>245976</v>
      </c>
    </row>
    <row r="610" spans="4:22" x14ac:dyDescent="0.3">
      <c r="D610" s="2">
        <v>607</v>
      </c>
      <c r="E610" s="2">
        <f>SEARCH("mul",$C$4,E609+1)</f>
        <v>14953</v>
      </c>
      <c r="F610" s="2" t="str">
        <f>MID($C$4,E610,$F$1)</f>
        <v>mul(879,156)-@]</v>
      </c>
      <c r="G610" s="3">
        <f>SEARCH("(",F610)</f>
        <v>4</v>
      </c>
      <c r="H610" s="3">
        <f>SEARCH(",",F610)</f>
        <v>8</v>
      </c>
      <c r="I610" s="3">
        <f>SEARCH(")",F610)</f>
        <v>12</v>
      </c>
      <c r="J610" s="2" t="str">
        <f>IF(OR(ISERROR(G610),ISERROR(H610),ISERROR(I610)),"CORRUPT!","")</f>
        <v/>
      </c>
      <c r="K610" s="2" t="str">
        <f>IF(J610&lt;&gt;"","",MID(F610, G610+1, H610-G610-1))</f>
        <v>879</v>
      </c>
      <c r="L610" s="2">
        <f>IF(J610&lt;&gt;"","",LEN(K610))</f>
        <v>3</v>
      </c>
      <c r="M610" s="2" t="str">
        <f>IF(J610&lt;&gt;"","",MID(F610, H610+1, I610-H610-1))</f>
        <v>156</v>
      </c>
      <c r="N610" s="2">
        <f>IF(J610&lt;&gt;"","",LEN(M610))</f>
        <v>3</v>
      </c>
      <c r="O610" s="2">
        <f>IF(J610&lt;&gt;"","",K610*M610)</f>
        <v>137124</v>
      </c>
      <c r="R610" s="1" t="str">
        <v>248,563)*:;'mul??</v>
      </c>
      <c r="S610" s="1" t="str">
        <v>390,731</v>
      </c>
      <c r="T610" s="1" t="str">
        <v>390</v>
      </c>
      <c r="U610" s="1" t="str">
        <v>731</v>
      </c>
      <c r="V610" s="1">
        <v>285090</v>
      </c>
    </row>
    <row r="611" spans="4:22" x14ac:dyDescent="0.3">
      <c r="D611" s="2">
        <v>608</v>
      </c>
      <c r="E611" s="2">
        <f>SEARCH("mul",$C$4,E610+1)</f>
        <v>14983</v>
      </c>
      <c r="F611" s="2" t="str">
        <f>MID($C$4,E611,$F$1)</f>
        <v>mul(247,306;!mu</v>
      </c>
      <c r="G611" s="3">
        <f>SEARCH("(",F611)</f>
        <v>4</v>
      </c>
      <c r="H611" s="3">
        <f>SEARCH(",",F611)</f>
        <v>8</v>
      </c>
      <c r="I611" s="3" t="e">
        <f>SEARCH(")",F611)</f>
        <v>#VALUE!</v>
      </c>
      <c r="J611" s="2" t="str">
        <f>IF(OR(ISERROR(G611),ISERROR(H611),ISERROR(I611)),"CORRUPT!","")</f>
        <v>CORRUPT!</v>
      </c>
      <c r="K611" s="2" t="str">
        <f>IF(J611&lt;&gt;"","",MID(F611, G611+1, H611-G611-1))</f>
        <v/>
      </c>
      <c r="L611" s="2" t="str">
        <f>IF(J611&lt;&gt;"","",LEN(K611))</f>
        <v/>
      </c>
      <c r="M611" s="2" t="str">
        <f>IF(J611&lt;&gt;"","",MID(F611, H611+1, I611-H611-1))</f>
        <v/>
      </c>
      <c r="N611" s="2" t="str">
        <f>IF(J611&lt;&gt;"","",LEN(M611))</f>
        <v/>
      </c>
      <c r="O611" s="2" t="str">
        <f>IF(J611&lt;&gt;"","",K611*M611)</f>
        <v/>
      </c>
      <c r="R611" s="1" t="str">
        <v>254,676)+where()from()?'[){ how()</v>
      </c>
      <c r="S611" s="1" t="str">
        <v>930,981</v>
      </c>
      <c r="T611" s="1" t="str">
        <v>930</v>
      </c>
      <c r="U611" s="1" t="str">
        <v>981</v>
      </c>
      <c r="V611" s="1">
        <v>912330</v>
      </c>
    </row>
    <row r="612" spans="4:22" x14ac:dyDescent="0.3">
      <c r="D612" s="2">
        <v>609</v>
      </c>
      <c r="E612" s="2">
        <f>SEARCH("mul",$C$4,E611+1)</f>
        <v>14996</v>
      </c>
      <c r="F612" s="2" t="str">
        <f>MID($C$4,E612,$F$1)</f>
        <v>mul(183,347)&lt;mu</v>
      </c>
      <c r="G612" s="3">
        <f>SEARCH("(",F612)</f>
        <v>4</v>
      </c>
      <c r="H612" s="3">
        <f>SEARCH(",",F612)</f>
        <v>8</v>
      </c>
      <c r="I612" s="3">
        <f>SEARCH(")",F612)</f>
        <v>12</v>
      </c>
      <c r="J612" s="2" t="str">
        <f>IF(OR(ISERROR(G612),ISERROR(H612),ISERROR(I612)),"CORRUPT!","")</f>
        <v/>
      </c>
      <c r="K612" s="2" t="str">
        <f>IF(J612&lt;&gt;"","",MID(F612, G612+1, H612-G612-1))</f>
        <v>183</v>
      </c>
      <c r="L612" s="2">
        <f>IF(J612&lt;&gt;"","",LEN(K612))</f>
        <v>3</v>
      </c>
      <c r="M612" s="2" t="str">
        <f>IF(J612&lt;&gt;"","",MID(F612, H612+1, I612-H612-1))</f>
        <v>347</v>
      </c>
      <c r="N612" s="2">
        <f>IF(J612&lt;&gt;"","",LEN(M612))</f>
        <v>3</v>
      </c>
      <c r="O612" s="2">
        <f>IF(J612&lt;&gt;"","",K612*M612)</f>
        <v>63501</v>
      </c>
      <c r="R612" s="1" t="str">
        <v>250,339))'!')where()&lt;?</v>
      </c>
      <c r="S612" s="1" t="str">
        <v>740,619</v>
      </c>
      <c r="T612" s="1" t="str">
        <v>740</v>
      </c>
      <c r="U612" s="1" t="str">
        <v>619</v>
      </c>
      <c r="V612" s="1">
        <v>458060</v>
      </c>
    </row>
    <row r="613" spans="4:22" x14ac:dyDescent="0.3">
      <c r="D613" s="2">
        <v>610</v>
      </c>
      <c r="E613" s="2">
        <f>SEARCH("mul",$C$4,E612+1)</f>
        <v>15009</v>
      </c>
      <c r="F613" s="2" t="str">
        <f>MID($C$4,E613,$F$1)</f>
        <v>mul(638,126)+&gt;^</v>
      </c>
      <c r="G613" s="3">
        <f>SEARCH("(",F613)</f>
        <v>4</v>
      </c>
      <c r="H613" s="3">
        <f>SEARCH(",",F613)</f>
        <v>8</v>
      </c>
      <c r="I613" s="3">
        <f>SEARCH(")",F613)</f>
        <v>12</v>
      </c>
      <c r="J613" s="2" t="str">
        <f>IF(OR(ISERROR(G613),ISERROR(H613),ISERROR(I613)),"CORRUPT!","")</f>
        <v/>
      </c>
      <c r="K613" s="2" t="str">
        <f>IF(J613&lt;&gt;"","",MID(F613, G613+1, H613-G613-1))</f>
        <v>638</v>
      </c>
      <c r="L613" s="2">
        <f>IF(J613&lt;&gt;"","",LEN(K613))</f>
        <v>3</v>
      </c>
      <c r="M613" s="2" t="str">
        <f>IF(J613&lt;&gt;"","",MID(F613, H613+1, I613-H613-1))</f>
        <v>126</v>
      </c>
      <c r="N613" s="2">
        <f>IF(J613&lt;&gt;"","",LEN(M613))</f>
        <v>3</v>
      </c>
      <c r="O613" s="2">
        <f>IF(J613&lt;&gt;"","",K613*M613)</f>
        <v>80388</v>
      </c>
      <c r="R613" s="1" t="str">
        <v>410,838)(where()@</v>
      </c>
      <c r="S613" s="1" t="str">
        <v>266,422</v>
      </c>
      <c r="T613" s="1" t="str">
        <v>266</v>
      </c>
      <c r="U613" s="1" t="str">
        <v>422</v>
      </c>
      <c r="V613" s="1">
        <v>112252</v>
      </c>
    </row>
    <row r="614" spans="4:22" x14ac:dyDescent="0.3">
      <c r="D614" s="2">
        <v>611</v>
      </c>
      <c r="E614" s="2">
        <f>SEARCH("mul",$C$4,E613+1)</f>
        <v>15033</v>
      </c>
      <c r="F614" s="2" t="str">
        <f>MID($C$4,E614,$F$1)</f>
        <v>mul(250+~select</v>
      </c>
      <c r="G614" s="3">
        <f>SEARCH("(",F614)</f>
        <v>4</v>
      </c>
      <c r="H614" s="3" t="e">
        <f>SEARCH(",",F614)</f>
        <v>#VALUE!</v>
      </c>
      <c r="I614" s="3" t="e">
        <f>SEARCH(")",F614)</f>
        <v>#VALUE!</v>
      </c>
      <c r="J614" s="2" t="str">
        <f>IF(OR(ISERROR(G614),ISERROR(H614),ISERROR(I614)),"CORRUPT!","")</f>
        <v>CORRUPT!</v>
      </c>
      <c r="K614" s="2" t="str">
        <f>IF(J614&lt;&gt;"","",MID(F614, G614+1, H614-G614-1))</f>
        <v/>
      </c>
      <c r="L614" s="2" t="str">
        <f>IF(J614&lt;&gt;"","",LEN(K614))</f>
        <v/>
      </c>
      <c r="M614" s="2" t="str">
        <f>IF(J614&lt;&gt;"","",MID(F614, H614+1, I614-H614-1))</f>
        <v/>
      </c>
      <c r="N614" s="2" t="str">
        <f>IF(J614&lt;&gt;"","",LEN(M614))</f>
        <v/>
      </c>
      <c r="O614" s="2" t="str">
        <f>IF(J614&lt;&gt;"","",K614*M614)</f>
        <v/>
      </c>
      <c r="R614" s="1" t="str">
        <v>102,412)where()</v>
      </c>
      <c r="S614" s="1" t="str">
        <v>794,513</v>
      </c>
      <c r="T614" s="1" t="str">
        <v>794</v>
      </c>
      <c r="U614" s="1" t="str">
        <v>513</v>
      </c>
      <c r="V614" s="1">
        <v>407322</v>
      </c>
    </row>
    <row r="615" spans="4:22" x14ac:dyDescent="0.3">
      <c r="D615" s="2">
        <v>612</v>
      </c>
      <c r="E615" s="2">
        <f>SEARCH("mul",$C$4,E614+1)</f>
        <v>15058</v>
      </c>
      <c r="F615" s="2" t="str">
        <f>MID($C$4,E615,$F$1)</f>
        <v>mul(981,151)#}m</v>
      </c>
      <c r="G615" s="3">
        <f>SEARCH("(",F615)</f>
        <v>4</v>
      </c>
      <c r="H615" s="3">
        <f>SEARCH(",",F615)</f>
        <v>8</v>
      </c>
      <c r="I615" s="3">
        <f>SEARCH(")",F615)</f>
        <v>12</v>
      </c>
      <c r="J615" s="2" t="str">
        <f>IF(OR(ISERROR(G615),ISERROR(H615),ISERROR(I615)),"CORRUPT!","")</f>
        <v/>
      </c>
      <c r="K615" s="2" t="str">
        <f>IF(J615&lt;&gt;"","",MID(F615, G615+1, H615-G615-1))</f>
        <v>981</v>
      </c>
      <c r="L615" s="2">
        <f>IF(J615&lt;&gt;"","",LEN(K615))</f>
        <v>3</v>
      </c>
      <c r="M615" s="2" t="str">
        <f>IF(J615&lt;&gt;"","",MID(F615, H615+1, I615-H615-1))</f>
        <v>151</v>
      </c>
      <c r="N615" s="2">
        <f>IF(J615&lt;&gt;"","",LEN(M615))</f>
        <v>3</v>
      </c>
      <c r="O615" s="2">
        <f>IF(J615&lt;&gt;"","",K615*M615)</f>
        <v>148131</v>
      </c>
      <c r="R615" s="1" t="str">
        <v>173,786)-![</v>
      </c>
      <c r="S615" s="1" t="str">
        <v>944,970</v>
      </c>
      <c r="T615" s="1" t="str">
        <v>944</v>
      </c>
      <c r="U615" s="1" t="str">
        <v>970</v>
      </c>
      <c r="V615" s="1">
        <v>915680</v>
      </c>
    </row>
    <row r="616" spans="4:22" x14ac:dyDescent="0.3">
      <c r="D616" s="2">
        <v>613</v>
      </c>
      <c r="E616" s="2">
        <f>SEARCH("mul",$C$4,E615+1)</f>
        <v>15072</v>
      </c>
      <c r="F616" s="2" t="str">
        <f>MID($C$4,E616,$F$1)</f>
        <v>mul(92,876))how</v>
      </c>
      <c r="G616" s="3">
        <f>SEARCH("(",F616)</f>
        <v>4</v>
      </c>
      <c r="H616" s="3">
        <f>SEARCH(",",F616)</f>
        <v>7</v>
      </c>
      <c r="I616" s="3">
        <f>SEARCH(")",F616)</f>
        <v>11</v>
      </c>
      <c r="J616" s="2" t="str">
        <f>IF(OR(ISERROR(G616),ISERROR(H616),ISERROR(I616)),"CORRUPT!","")</f>
        <v/>
      </c>
      <c r="K616" s="2" t="str">
        <f>IF(J616&lt;&gt;"","",MID(F616, G616+1, H616-G616-1))</f>
        <v>92</v>
      </c>
      <c r="L616" s="2">
        <f>IF(J616&lt;&gt;"","",LEN(K616))</f>
        <v>2</v>
      </c>
      <c r="M616" s="2" t="str">
        <f>IF(J616&lt;&gt;"","",MID(F616, H616+1, I616-H616-1))</f>
        <v>876</v>
      </c>
      <c r="N616" s="2">
        <f>IF(J616&lt;&gt;"","",LEN(M616))</f>
        <v>3</v>
      </c>
      <c r="O616" s="2">
        <f>IF(J616&lt;&gt;"","",K616*M616)</f>
        <v>80592</v>
      </c>
      <c r="R616" s="1" t="str">
        <v>92,40)</v>
      </c>
      <c r="S616" s="1" t="str">
        <v>968,484</v>
      </c>
      <c r="T616" s="1" t="str">
        <v>968</v>
      </c>
      <c r="U616" s="1" t="str">
        <v>484</v>
      </c>
      <c r="V616" s="1">
        <v>468512</v>
      </c>
    </row>
    <row r="617" spans="4:22" x14ac:dyDescent="0.3">
      <c r="D617" s="2">
        <v>614</v>
      </c>
      <c r="E617" s="2">
        <f>SEARCH("mul",$C$4,E616+1)</f>
        <v>15101</v>
      </c>
      <c r="F617" s="2" t="str">
        <f>MID($C$4,E617,$F$1)</f>
        <v>mul(827,341)::h</v>
      </c>
      <c r="G617" s="3">
        <f>SEARCH("(",F617)</f>
        <v>4</v>
      </c>
      <c r="H617" s="3">
        <f>SEARCH(",",F617)</f>
        <v>8</v>
      </c>
      <c r="I617" s="3">
        <f>SEARCH(")",F617)</f>
        <v>12</v>
      </c>
      <c r="J617" s="2" t="str">
        <f>IF(OR(ISERROR(G617),ISERROR(H617),ISERROR(I617)),"CORRUPT!","")</f>
        <v/>
      </c>
      <c r="K617" s="2" t="str">
        <f>IF(J617&lt;&gt;"","",MID(F617, G617+1, H617-G617-1))</f>
        <v>827</v>
      </c>
      <c r="L617" s="2">
        <f>IF(J617&lt;&gt;"","",LEN(K617))</f>
        <v>3</v>
      </c>
      <c r="M617" s="2" t="str">
        <f>IF(J617&lt;&gt;"","",MID(F617, H617+1, I617-H617-1))</f>
        <v>341</v>
      </c>
      <c r="N617" s="2">
        <f>IF(J617&lt;&gt;"","",LEN(M617))</f>
        <v>3</v>
      </c>
      <c r="O617" s="2">
        <f>IF(J617&lt;&gt;"","",K617*M617)</f>
        <v>282007</v>
      </c>
      <c r="R617" s="1" t="str">
        <v>888,277)'from()do()</v>
      </c>
      <c r="S617" s="1" t="str">
        <v>285,45</v>
      </c>
      <c r="T617" s="1" t="str">
        <v>285</v>
      </c>
      <c r="U617" s="1" t="str">
        <v>45</v>
      </c>
      <c r="V617" s="1">
        <v>12825</v>
      </c>
    </row>
    <row r="618" spans="4:22" x14ac:dyDescent="0.3">
      <c r="D618" s="2">
        <v>615</v>
      </c>
      <c r="E618" s="2">
        <f>SEARCH("mul",$C$4,E617+1)</f>
        <v>15122</v>
      </c>
      <c r="F618" s="2" t="str">
        <f>MID($C$4,E618,$F$1)</f>
        <v>mul(407,705)#+&gt;</v>
      </c>
      <c r="G618" s="3">
        <f>SEARCH("(",F618)</f>
        <v>4</v>
      </c>
      <c r="H618" s="3">
        <f>SEARCH(",",F618)</f>
        <v>8</v>
      </c>
      <c r="I618" s="3">
        <f>SEARCH(")",F618)</f>
        <v>12</v>
      </c>
      <c r="J618" s="2" t="str">
        <f>IF(OR(ISERROR(G618),ISERROR(H618),ISERROR(I618)),"CORRUPT!","")</f>
        <v/>
      </c>
      <c r="K618" s="2" t="str">
        <f>IF(J618&lt;&gt;"","",MID(F618, G618+1, H618-G618-1))</f>
        <v>407</v>
      </c>
      <c r="L618" s="2">
        <f>IF(J618&lt;&gt;"","",LEN(K618))</f>
        <v>3</v>
      </c>
      <c r="M618" s="2" t="str">
        <f>IF(J618&lt;&gt;"","",MID(F618, H618+1, I618-H618-1))</f>
        <v>705</v>
      </c>
      <c r="N618" s="2">
        <f>IF(J618&lt;&gt;"","",LEN(M618))</f>
        <v>3</v>
      </c>
      <c r="O618" s="2">
        <f>IF(J618&lt;&gt;"","",K618*M618)</f>
        <v>286935</v>
      </c>
      <c r="R618" s="1" t="str">
        <v>390,731)@what()who()@%@who()&amp;&amp;?</v>
      </c>
      <c r="S618" s="1" t="str">
        <v>728,164</v>
      </c>
      <c r="T618" s="1" t="str">
        <v>728</v>
      </c>
      <c r="U618" s="1" t="str">
        <v>164</v>
      </c>
      <c r="V618" s="1">
        <v>119392</v>
      </c>
    </row>
    <row r="619" spans="4:22" x14ac:dyDescent="0.3">
      <c r="D619" s="2">
        <v>616</v>
      </c>
      <c r="E619" s="2">
        <f>SEARCH("mul",$C$4,E618+1)</f>
        <v>15137</v>
      </c>
      <c r="F619" s="2" t="str">
        <f>MID($C$4,E619,$F$1)</f>
        <v>mul(576,849)mul</v>
      </c>
      <c r="G619" s="3">
        <f>SEARCH("(",F619)</f>
        <v>4</v>
      </c>
      <c r="H619" s="3">
        <f>SEARCH(",",F619)</f>
        <v>8</v>
      </c>
      <c r="I619" s="3">
        <f>SEARCH(")",F619)</f>
        <v>12</v>
      </c>
      <c r="J619" s="2" t="str">
        <f>IF(OR(ISERROR(G619),ISERROR(H619),ISERROR(I619)),"CORRUPT!","")</f>
        <v/>
      </c>
      <c r="K619" s="2" t="str">
        <f>IF(J619&lt;&gt;"","",MID(F619, G619+1, H619-G619-1))</f>
        <v>576</v>
      </c>
      <c r="L619" s="2">
        <f>IF(J619&lt;&gt;"","",LEN(K619))</f>
        <v>3</v>
      </c>
      <c r="M619" s="2" t="str">
        <f>IF(J619&lt;&gt;"","",MID(F619, H619+1, I619-H619-1))</f>
        <v>849</v>
      </c>
      <c r="N619" s="2">
        <f>IF(J619&lt;&gt;"","",LEN(M619))</f>
        <v>3</v>
      </c>
      <c r="O619" s="2">
        <f>IF(J619&lt;&gt;"","",K619*M619)</f>
        <v>489024</v>
      </c>
      <c r="R619" s="1" t="str">
        <v>930,981)&gt;}from()why()-*!</v>
      </c>
      <c r="S619" s="1" t="str">
        <v>568,114</v>
      </c>
      <c r="T619" s="1" t="str">
        <v>568</v>
      </c>
      <c r="U619" s="1" t="str">
        <v>114</v>
      </c>
      <c r="V619" s="1">
        <v>64752</v>
      </c>
    </row>
    <row r="620" spans="4:22" x14ac:dyDescent="0.3">
      <c r="D620" s="2">
        <v>617</v>
      </c>
      <c r="E620" s="2">
        <f>SEARCH("mul",$C$4,E619+1)</f>
        <v>15149</v>
      </c>
      <c r="F620" s="2" t="str">
        <f>MID($C$4,E620,$F$1)</f>
        <v>mul(482,236)(^*</v>
      </c>
      <c r="G620" s="3">
        <f>SEARCH("(",F620)</f>
        <v>4</v>
      </c>
      <c r="H620" s="3">
        <f>SEARCH(",",F620)</f>
        <v>8</v>
      </c>
      <c r="I620" s="3">
        <f>SEARCH(")",F620)</f>
        <v>12</v>
      </c>
      <c r="J620" s="2" t="str">
        <f>IF(OR(ISERROR(G620),ISERROR(H620),ISERROR(I620)),"CORRUPT!","")</f>
        <v/>
      </c>
      <c r="K620" s="2" t="str">
        <f>IF(J620&lt;&gt;"","",MID(F620, G620+1, H620-G620-1))</f>
        <v>482</v>
      </c>
      <c r="L620" s="2">
        <f>IF(J620&lt;&gt;"","",LEN(K620))</f>
        <v>3</v>
      </c>
      <c r="M620" s="2" t="str">
        <f>IF(J620&lt;&gt;"","",MID(F620, H620+1, I620-H620-1))</f>
        <v>236</v>
      </c>
      <c r="N620" s="2">
        <f>IF(J620&lt;&gt;"","",LEN(M620))</f>
        <v>3</v>
      </c>
      <c r="O620" s="2">
        <f>IF(J620&lt;&gt;"","",K620*M620)</f>
        <v>113752</v>
      </c>
      <c r="R620" s="1" t="str">
        <v>740,619)~$when(370,81)where()%-#;^</v>
      </c>
      <c r="S620" s="1" t="str">
        <v>763,536</v>
      </c>
      <c r="T620" s="1" t="str">
        <v>763</v>
      </c>
      <c r="U620" s="1" t="str">
        <v>536</v>
      </c>
      <c r="V620" s="1">
        <v>408968</v>
      </c>
    </row>
    <row r="621" spans="4:22" x14ac:dyDescent="0.3">
      <c r="D621" s="2">
        <v>618</v>
      </c>
      <c r="E621" s="2">
        <f>SEARCH("mul",$C$4,E620+1)</f>
        <v>15177</v>
      </c>
      <c r="F621" s="2" t="str">
        <f>MID($C$4,E621,$F$1)</f>
        <v>mul(544%who()('</v>
      </c>
      <c r="G621" s="3">
        <f>SEARCH("(",F621)</f>
        <v>4</v>
      </c>
      <c r="H621" s="3" t="e">
        <f>SEARCH(",",F621)</f>
        <v>#VALUE!</v>
      </c>
      <c r="I621" s="3">
        <f>SEARCH(")",F621)</f>
        <v>13</v>
      </c>
      <c r="J621" s="2" t="str">
        <f>IF(OR(ISERROR(G621),ISERROR(H621),ISERROR(I621)),"CORRUPT!","")</f>
        <v>CORRUPT!</v>
      </c>
      <c r="K621" s="2" t="str">
        <f>IF(J621&lt;&gt;"","",MID(F621, G621+1, H621-G621-1))</f>
        <v/>
      </c>
      <c r="L621" s="2" t="str">
        <f>IF(J621&lt;&gt;"","",LEN(K621))</f>
        <v/>
      </c>
      <c r="M621" s="2" t="str">
        <f>IF(J621&lt;&gt;"","",MID(F621, H621+1, I621-H621-1))</f>
        <v/>
      </c>
      <c r="N621" s="2" t="str">
        <f>IF(J621&lt;&gt;"","",LEN(M621))</f>
        <v/>
      </c>
      <c r="O621" s="2" t="str">
        <f>IF(J621&lt;&gt;"","",K621*M621)</f>
        <v/>
      </c>
      <c r="R621" s="1" t="str">
        <v>291;^&lt;-</v>
      </c>
      <c r="S621" s="1" t="str">
        <v>506,503</v>
      </c>
      <c r="T621" s="1" t="str">
        <v>506</v>
      </c>
      <c r="U621" s="1" t="str">
        <v>503</v>
      </c>
      <c r="V621" s="1">
        <v>254518</v>
      </c>
    </row>
    <row r="622" spans="4:22" x14ac:dyDescent="0.3">
      <c r="D622" s="2">
        <v>619</v>
      </c>
      <c r="E622" s="2">
        <f>SEARCH("mul",$C$4,E621+1)</f>
        <v>15199</v>
      </c>
      <c r="F622" s="2" t="str">
        <f>MID($C$4,E622,$F$1)</f>
        <v>mul(113,286)whe</v>
      </c>
      <c r="G622" s="3">
        <f>SEARCH("(",F622)</f>
        <v>4</v>
      </c>
      <c r="H622" s="3">
        <f>SEARCH(",",F622)</f>
        <v>8</v>
      </c>
      <c r="I622" s="3">
        <f>SEARCH(")",F622)</f>
        <v>12</v>
      </c>
      <c r="J622" s="2" t="str">
        <f>IF(OR(ISERROR(G622),ISERROR(H622),ISERROR(I622)),"CORRUPT!","")</f>
        <v/>
      </c>
      <c r="K622" s="2" t="str">
        <f>IF(J622&lt;&gt;"","",MID(F622, G622+1, H622-G622-1))</f>
        <v>113</v>
      </c>
      <c r="L622" s="2">
        <f>IF(J622&lt;&gt;"","",LEN(K622))</f>
        <v>3</v>
      </c>
      <c r="M622" s="2" t="str">
        <f>IF(J622&lt;&gt;"","",MID(F622, H622+1, I622-H622-1))</f>
        <v>286</v>
      </c>
      <c r="N622" s="2">
        <f>IF(J622&lt;&gt;"","",LEN(M622))</f>
        <v>3</v>
      </c>
      <c r="O622" s="2">
        <f>IF(J622&lt;&gt;"","",K622*M622)</f>
        <v>32318</v>
      </c>
      <c r="R622" s="1" t="str">
        <v>266,422)@%select()/why() [</v>
      </c>
      <c r="S622" s="1" t="str">
        <v>763,386</v>
      </c>
      <c r="T622" s="1" t="str">
        <v>763</v>
      </c>
      <c r="U622" s="1" t="str">
        <v>386</v>
      </c>
      <c r="V622" s="1">
        <v>294518</v>
      </c>
    </row>
    <row r="623" spans="4:22" x14ac:dyDescent="0.3">
      <c r="D623" s="2">
        <v>620</v>
      </c>
      <c r="E623" s="2">
        <f>SEARCH("mul",$C$4,E622+1)</f>
        <v>15261</v>
      </c>
      <c r="F623" s="2" t="str">
        <f>MID($C$4,E623,$F$1)</f>
        <v>mul(234,452)}&gt;[</v>
      </c>
      <c r="G623" s="3">
        <f>SEARCH("(",F623)</f>
        <v>4</v>
      </c>
      <c r="H623" s="3">
        <f>SEARCH(",",F623)</f>
        <v>8</v>
      </c>
      <c r="I623" s="3">
        <f>SEARCH(")",F623)</f>
        <v>12</v>
      </c>
      <c r="J623" s="2" t="str">
        <f>IF(OR(ISERROR(G623),ISERROR(H623),ISERROR(I623)),"CORRUPT!","")</f>
        <v/>
      </c>
      <c r="K623" s="2" t="str">
        <f>IF(J623&lt;&gt;"","",MID(F623, G623+1, H623-G623-1))</f>
        <v>234</v>
      </c>
      <c r="L623" s="2">
        <f>IF(J623&lt;&gt;"","",LEN(K623))</f>
        <v>3</v>
      </c>
      <c r="M623" s="2" t="str">
        <f>IF(J623&lt;&gt;"","",MID(F623, H623+1, I623-H623-1))</f>
        <v>452</v>
      </c>
      <c r="N623" s="2">
        <f>IF(J623&lt;&gt;"","",LEN(M623))</f>
        <v>3</v>
      </c>
      <c r="O623" s="2">
        <f>IF(J623&lt;&gt;"","",K623*M623)</f>
        <v>105768</v>
      </c>
      <c r="R623" s="1" t="str">
        <v>794,513)where()&gt;{+</v>
      </c>
      <c r="S623" s="1" t="str">
        <v>260,628</v>
      </c>
      <c r="T623" s="1" t="str">
        <v>260</v>
      </c>
      <c r="U623" s="1" t="str">
        <v>628</v>
      </c>
      <c r="V623" s="1">
        <v>163280</v>
      </c>
    </row>
    <row r="624" spans="4:22" x14ac:dyDescent="0.3">
      <c r="D624" s="2">
        <v>621</v>
      </c>
      <c r="E624" s="2">
        <f>SEARCH("mul",$C$4,E623+1)</f>
        <v>15333</v>
      </c>
      <c r="F624" s="2" t="str">
        <f>MID($C$4,E624,$F$1)</f>
        <v>mul(874,529)}&gt;w</v>
      </c>
      <c r="G624" s="3">
        <f>SEARCH("(",F624)</f>
        <v>4</v>
      </c>
      <c r="H624" s="3">
        <f>SEARCH(",",F624)</f>
        <v>8</v>
      </c>
      <c r="I624" s="3">
        <f>SEARCH(")",F624)</f>
        <v>12</v>
      </c>
      <c r="J624" s="2" t="str">
        <f>IF(OR(ISERROR(G624),ISERROR(H624),ISERROR(I624)),"CORRUPT!","")</f>
        <v/>
      </c>
      <c r="K624" s="2" t="str">
        <f>IF(J624&lt;&gt;"","",MID(F624, G624+1, H624-G624-1))</f>
        <v>874</v>
      </c>
      <c r="L624" s="2">
        <f>IF(J624&lt;&gt;"","",LEN(K624))</f>
        <v>3</v>
      </c>
      <c r="M624" s="2" t="str">
        <f>IF(J624&lt;&gt;"","",MID(F624, H624+1, I624-H624-1))</f>
        <v>529</v>
      </c>
      <c r="N624" s="2">
        <f>IF(J624&lt;&gt;"","",LEN(M624))</f>
        <v>3</v>
      </c>
      <c r="O624" s="2">
        <f>IF(J624&lt;&gt;"","",K624*M624)</f>
        <v>462346</v>
      </c>
      <c r="R624" s="1" t="str">
        <v>944,970)!why();</v>
      </c>
      <c r="S624" s="1" t="str">
        <v>697,677</v>
      </c>
      <c r="T624" s="1" t="str">
        <v>697</v>
      </c>
      <c r="U624" s="1" t="str">
        <v>677</v>
      </c>
      <c r="V624" s="1">
        <v>471869</v>
      </c>
    </row>
    <row r="625" spans="4:22" x14ac:dyDescent="0.3">
      <c r="D625" s="2">
        <v>622</v>
      </c>
      <c r="E625" s="2">
        <f>SEARCH("mul",$C$4,E624+1)</f>
        <v>15366</v>
      </c>
      <c r="F625" s="2" t="str">
        <f>MID($C$4,E625,$F$1)</f>
        <v>mul(168,89)}{*w</v>
      </c>
      <c r="G625" s="3">
        <f>SEARCH("(",F625)</f>
        <v>4</v>
      </c>
      <c r="H625" s="3">
        <f>SEARCH(",",F625)</f>
        <v>8</v>
      </c>
      <c r="I625" s="3">
        <f>SEARCH(")",F625)</f>
        <v>11</v>
      </c>
      <c r="J625" s="2" t="str">
        <f>IF(OR(ISERROR(G625),ISERROR(H625),ISERROR(I625)),"CORRUPT!","")</f>
        <v/>
      </c>
      <c r="K625" s="2" t="str">
        <f>IF(J625&lt;&gt;"","",MID(F625, G625+1, H625-G625-1))</f>
        <v>168</v>
      </c>
      <c r="L625" s="2">
        <f>IF(J625&lt;&gt;"","",LEN(K625))</f>
        <v>3</v>
      </c>
      <c r="M625" s="2" t="str">
        <f>IF(J625&lt;&gt;"","",MID(F625, H625+1, I625-H625-1))</f>
        <v>89</v>
      </c>
      <c r="N625" s="2">
        <f>IF(J625&lt;&gt;"","",LEN(M625))</f>
        <v>2</v>
      </c>
      <c r="O625" s="2">
        <f>IF(J625&lt;&gt;"","",K625*M625)</f>
        <v>14952</v>
      </c>
      <c r="R625" s="1" t="str">
        <v>968,484)&lt;from(),:&gt;/what()who()</v>
      </c>
      <c r="S625" s="1" t="str">
        <v>246,278</v>
      </c>
      <c r="T625" s="1" t="str">
        <v>246</v>
      </c>
      <c r="U625" s="1" t="str">
        <v>278</v>
      </c>
      <c r="V625" s="1">
        <v>68388</v>
      </c>
    </row>
    <row r="626" spans="4:22" x14ac:dyDescent="0.3">
      <c r="D626" s="2">
        <v>623</v>
      </c>
      <c r="E626" s="2">
        <f>SEARCH("mul",$C$4,E625+1)</f>
        <v>15405</v>
      </c>
      <c r="F626" s="2" t="str">
        <f>MID($C$4,E626,$F$1)</f>
        <v>mul(811,383)!mu</v>
      </c>
      <c r="G626" s="3">
        <f>SEARCH("(",F626)</f>
        <v>4</v>
      </c>
      <c r="H626" s="3">
        <f>SEARCH(",",F626)</f>
        <v>8</v>
      </c>
      <c r="I626" s="3">
        <f>SEARCH(")",F626)</f>
        <v>12</v>
      </c>
      <c r="J626" s="2" t="str">
        <f>IF(OR(ISERROR(G626),ISERROR(H626),ISERROR(I626)),"CORRUPT!","")</f>
        <v/>
      </c>
      <c r="K626" s="2" t="str">
        <f>IF(J626&lt;&gt;"","",MID(F626, G626+1, H626-G626-1))</f>
        <v>811</v>
      </c>
      <c r="L626" s="2">
        <f>IF(J626&lt;&gt;"","",LEN(K626))</f>
        <v>3</v>
      </c>
      <c r="M626" s="2" t="str">
        <f>IF(J626&lt;&gt;"","",MID(F626, H626+1, I626-H626-1))</f>
        <v>383</v>
      </c>
      <c r="N626" s="2">
        <f>IF(J626&lt;&gt;"","",LEN(M626))</f>
        <v>3</v>
      </c>
      <c r="O626" s="2">
        <f>IF(J626&lt;&gt;"","",K626*M626)</f>
        <v>310613</v>
      </c>
      <c r="R626" s="1" t="str">
        <v>285,45)when()who()^when(),</v>
      </c>
      <c r="S626" s="1" t="str">
        <v>48,81</v>
      </c>
      <c r="T626" s="1" t="str">
        <v>48</v>
      </c>
      <c r="U626" s="1" t="str">
        <v>81</v>
      </c>
      <c r="V626" s="1">
        <v>3888</v>
      </c>
    </row>
    <row r="627" spans="4:22" x14ac:dyDescent="0.3">
      <c r="D627" s="2">
        <v>624</v>
      </c>
      <c r="E627" s="2">
        <f>SEARCH("mul",$C$4,E626+1)</f>
        <v>15418</v>
      </c>
      <c r="F627" s="2" t="str">
        <f>MID($C$4,E627,$F$1)</f>
        <v>mul(770,725):!*</v>
      </c>
      <c r="G627" s="3">
        <f>SEARCH("(",F627)</f>
        <v>4</v>
      </c>
      <c r="H627" s="3">
        <f>SEARCH(",",F627)</f>
        <v>8</v>
      </c>
      <c r="I627" s="3">
        <f>SEARCH(")",F627)</f>
        <v>12</v>
      </c>
      <c r="J627" s="2" t="str">
        <f>IF(OR(ISERROR(G627),ISERROR(H627),ISERROR(I627)),"CORRUPT!","")</f>
        <v/>
      </c>
      <c r="K627" s="2" t="str">
        <f>IF(J627&lt;&gt;"","",MID(F627, G627+1, H627-G627-1))</f>
        <v>770</v>
      </c>
      <c r="L627" s="2">
        <f>IF(J627&lt;&gt;"","",LEN(K627))</f>
        <v>3</v>
      </c>
      <c r="M627" s="2" t="str">
        <f>IF(J627&lt;&gt;"","",MID(F627, H627+1, I627-H627-1))</f>
        <v>725</v>
      </c>
      <c r="N627" s="2">
        <f>IF(J627&lt;&gt;"","",LEN(M627))</f>
        <v>3</v>
      </c>
      <c r="O627" s="2">
        <f>IF(J627&lt;&gt;"","",K627*M627)</f>
        <v>558250</v>
      </c>
      <c r="R627" s="1" t="str">
        <v>728,164),#/[)</v>
      </c>
      <c r="S627" s="1" t="str">
        <v>266,777</v>
      </c>
      <c r="T627" s="1" t="str">
        <v>266</v>
      </c>
      <c r="U627" s="1" t="str">
        <v>777</v>
      </c>
      <c r="V627" s="1">
        <v>206682</v>
      </c>
    </row>
    <row r="628" spans="4:22" x14ac:dyDescent="0.3">
      <c r="D628" s="2">
        <v>625</v>
      </c>
      <c r="E628" s="2">
        <f>SEARCH("mul",$C$4,E627+1)</f>
        <v>15462</v>
      </c>
      <c r="F628" s="2" t="str">
        <f>MID($C$4,E628,$F$1)</f>
        <v>mul(564,858)(mu</v>
      </c>
      <c r="G628" s="3">
        <f>SEARCH("(",F628)</f>
        <v>4</v>
      </c>
      <c r="H628" s="3">
        <f>SEARCH(",",F628)</f>
        <v>8</v>
      </c>
      <c r="I628" s="3">
        <f>SEARCH(")",F628)</f>
        <v>12</v>
      </c>
      <c r="J628" s="2" t="str">
        <f>IF(OR(ISERROR(G628),ISERROR(H628),ISERROR(I628)),"CORRUPT!","")</f>
        <v/>
      </c>
      <c r="K628" s="2" t="str">
        <f>IF(J628&lt;&gt;"","",MID(F628, G628+1, H628-G628-1))</f>
        <v>564</v>
      </c>
      <c r="L628" s="2">
        <f>IF(J628&lt;&gt;"","",LEN(K628))</f>
        <v>3</v>
      </c>
      <c r="M628" s="2" t="str">
        <f>IF(J628&lt;&gt;"","",MID(F628, H628+1, I628-H628-1))</f>
        <v>858</v>
      </c>
      <c r="N628" s="2">
        <f>IF(J628&lt;&gt;"","",LEN(M628))</f>
        <v>3</v>
      </c>
      <c r="O628" s="2">
        <f>IF(J628&lt;&gt;"","",K628*M628)</f>
        <v>483912</v>
      </c>
      <c r="R628" s="1" t="str">
        <v>568,114)%@:select() /*!</v>
      </c>
      <c r="S628" s="1" t="str">
        <v>843,750}&lt;what(</v>
      </c>
      <c r="T628" s="1" t="str">
        <v>843</v>
      </c>
      <c r="U628" s="1" t="str">
        <v>750}&lt;what(</v>
      </c>
      <c r="V628" s="1">
        <v>0</v>
      </c>
    </row>
    <row r="629" spans="4:22" x14ac:dyDescent="0.3">
      <c r="D629" s="2">
        <v>626</v>
      </c>
      <c r="E629" s="2">
        <f>SEARCH("mul",$C$4,E628+1)</f>
        <v>15475</v>
      </c>
      <c r="F629" s="2" t="str">
        <f>MID($C$4,E629,$F$1)</f>
        <v>mul(248,563)*:;</v>
      </c>
      <c r="G629" s="3">
        <f>SEARCH("(",F629)</f>
        <v>4</v>
      </c>
      <c r="H629" s="3">
        <f>SEARCH(",",F629)</f>
        <v>8</v>
      </c>
      <c r="I629" s="3">
        <f>SEARCH(")",F629)</f>
        <v>12</v>
      </c>
      <c r="J629" s="2" t="str">
        <f>IF(OR(ISERROR(G629),ISERROR(H629),ISERROR(I629)),"CORRUPT!","")</f>
        <v/>
      </c>
      <c r="K629" s="2" t="str">
        <f>IF(J629&lt;&gt;"","",MID(F629, G629+1, H629-G629-1))</f>
        <v>248</v>
      </c>
      <c r="L629" s="2">
        <f>IF(J629&lt;&gt;"","",LEN(K629))</f>
        <v>3</v>
      </c>
      <c r="M629" s="2" t="str">
        <f>IF(J629&lt;&gt;"","",MID(F629, H629+1, I629-H629-1))</f>
        <v>563</v>
      </c>
      <c r="N629" s="2">
        <f>IF(J629&lt;&gt;"","",LEN(M629))</f>
        <v>3</v>
      </c>
      <c r="O629" s="2">
        <f>IF(J629&lt;&gt;"","",K629*M629)</f>
        <v>139624</v>
      </c>
      <c r="R629" s="1" t="str">
        <v>763,536)?@</v>
      </c>
      <c r="S629" s="1" t="str">
        <v>940,128</v>
      </c>
      <c r="T629" s="1" t="str">
        <v>940</v>
      </c>
      <c r="U629" s="1" t="str">
        <v>128</v>
      </c>
      <c r="V629" s="1">
        <v>120320</v>
      </c>
    </row>
    <row r="630" spans="4:22" x14ac:dyDescent="0.3">
      <c r="D630" s="2">
        <v>627</v>
      </c>
      <c r="E630" s="2">
        <f>SEARCH("mul",$C$4,E629+1)</f>
        <v>15491</v>
      </c>
      <c r="F630" s="2" t="str">
        <f>MID($C$4,E630,$F$1)</f>
        <v>mul??mul(254,67</v>
      </c>
      <c r="G630" s="3">
        <f>SEARCH("(",F630)</f>
        <v>9</v>
      </c>
      <c r="H630" s="3">
        <f>SEARCH(",",F630)</f>
        <v>13</v>
      </c>
      <c r="I630" s="3" t="e">
        <f>SEARCH(")",F630)</f>
        <v>#VALUE!</v>
      </c>
      <c r="J630" s="2" t="str">
        <f>IF(OR(ISERROR(G630),ISERROR(H630),ISERROR(I630)),"CORRUPT!","")</f>
        <v>CORRUPT!</v>
      </c>
      <c r="K630" s="2" t="str">
        <f>IF(J630&lt;&gt;"","",MID(F630, G630+1, H630-G630-1))</f>
        <v/>
      </c>
      <c r="L630" s="2" t="str">
        <f>IF(J630&lt;&gt;"","",LEN(K630))</f>
        <v/>
      </c>
      <c r="M630" s="2" t="str">
        <f>IF(J630&lt;&gt;"","",MID(F630, H630+1, I630-H630-1))</f>
        <v/>
      </c>
      <c r="N630" s="2" t="str">
        <f>IF(J630&lt;&gt;"","",LEN(M630))</f>
        <v/>
      </c>
      <c r="O630" s="2" t="str">
        <f>IF(J630&lt;&gt;"","",K630*M630)</f>
        <v/>
      </c>
      <c r="R630" s="1" t="str">
        <v>506,503))do()@)^/</v>
      </c>
      <c r="S630" s="1" t="str">
        <v>477,389</v>
      </c>
      <c r="T630" s="1" t="str">
        <v>477</v>
      </c>
      <c r="U630" s="1" t="str">
        <v>389</v>
      </c>
      <c r="V630" s="1">
        <v>185553</v>
      </c>
    </row>
    <row r="631" spans="4:22" x14ac:dyDescent="0.3">
      <c r="D631" s="2">
        <v>628</v>
      </c>
      <c r="E631" s="2">
        <f>SEARCH("mul",$C$4,E630+1)</f>
        <v>15496</v>
      </c>
      <c r="F631" s="2" t="str">
        <f>MID($C$4,E631,$F$1)</f>
        <v>mul(254,676)+wh</v>
      </c>
      <c r="G631" s="3">
        <f>SEARCH("(",F631)</f>
        <v>4</v>
      </c>
      <c r="H631" s="3">
        <f>SEARCH(",",F631)</f>
        <v>8</v>
      </c>
      <c r="I631" s="3">
        <f>SEARCH(")",F631)</f>
        <v>12</v>
      </c>
      <c r="J631" s="2" t="str">
        <f>IF(OR(ISERROR(G631),ISERROR(H631),ISERROR(I631)),"CORRUPT!","")</f>
        <v/>
      </c>
      <c r="K631" s="2" t="str">
        <f>IF(J631&lt;&gt;"","",MID(F631, G631+1, H631-G631-1))</f>
        <v>254</v>
      </c>
      <c r="L631" s="2">
        <f>IF(J631&lt;&gt;"","",LEN(K631))</f>
        <v>3</v>
      </c>
      <c r="M631" s="2" t="str">
        <f>IF(J631&lt;&gt;"","",MID(F631, H631+1, I631-H631-1))</f>
        <v>676</v>
      </c>
      <c r="N631" s="2">
        <f>IF(J631&lt;&gt;"","",LEN(M631))</f>
        <v>3</v>
      </c>
      <c r="O631" s="2">
        <f>IF(J631&lt;&gt;"","",K631*M631)</f>
        <v>171704</v>
      </c>
      <c r="R631" s="1" t="str">
        <v>763,386)/why()how()from(417,323)&gt;what() where()</v>
      </c>
      <c r="S631" s="1" t="str">
        <v>838,845</v>
      </c>
      <c r="T631" s="1" t="str">
        <v>838</v>
      </c>
      <c r="U631" s="1" t="str">
        <v>845</v>
      </c>
      <c r="V631" s="1">
        <v>708110</v>
      </c>
    </row>
    <row r="632" spans="4:22" x14ac:dyDescent="0.3">
      <c r="D632" s="2">
        <v>629</v>
      </c>
      <c r="E632" s="2">
        <f>SEARCH("mul",$C$4,E631+1)</f>
        <v>15533</v>
      </c>
      <c r="F632" s="2" t="str">
        <f>MID($C$4,E632,$F$1)</f>
        <v>mul(250,339))'!</v>
      </c>
      <c r="G632" s="3">
        <f>SEARCH("(",F632)</f>
        <v>4</v>
      </c>
      <c r="H632" s="3">
        <f>SEARCH(",",F632)</f>
        <v>8</v>
      </c>
      <c r="I632" s="3">
        <f>SEARCH(")",F632)</f>
        <v>12</v>
      </c>
      <c r="J632" s="2" t="str">
        <f>IF(OR(ISERROR(G632),ISERROR(H632),ISERROR(I632)),"CORRUPT!","")</f>
        <v/>
      </c>
      <c r="K632" s="2" t="str">
        <f>IF(J632&lt;&gt;"","",MID(F632, G632+1, H632-G632-1))</f>
        <v>250</v>
      </c>
      <c r="L632" s="2">
        <f>IF(J632&lt;&gt;"","",LEN(K632))</f>
        <v>3</v>
      </c>
      <c r="M632" s="2" t="str">
        <f>IF(J632&lt;&gt;"","",MID(F632, H632+1, I632-H632-1))</f>
        <v>339</v>
      </c>
      <c r="N632" s="2">
        <f>IF(J632&lt;&gt;"","",LEN(M632))</f>
        <v>3</v>
      </c>
      <c r="O632" s="2">
        <f>IF(J632&lt;&gt;"","",K632*M632)</f>
        <v>84750</v>
      </c>
      <c r="R632" s="1" t="str">
        <v>260,628)?:'+$why()+@&amp;</v>
      </c>
      <c r="S632" s="1" t="str">
        <v>248,817</v>
      </c>
      <c r="T632" s="1" t="str">
        <v>248</v>
      </c>
      <c r="U632" s="1" t="str">
        <v>817</v>
      </c>
      <c r="V632" s="1">
        <v>202616</v>
      </c>
    </row>
    <row r="633" spans="4:22" x14ac:dyDescent="0.3">
      <c r="D633" s="2">
        <v>630</v>
      </c>
      <c r="E633" s="2">
        <f>SEARCH("mul",$C$4,E632+1)</f>
        <v>15559</v>
      </c>
      <c r="F633" s="2" t="str">
        <f>MID($C$4,E633,$F$1)</f>
        <v>mul(410,838)(wh</v>
      </c>
      <c r="G633" s="3">
        <f>SEARCH("(",F633)</f>
        <v>4</v>
      </c>
      <c r="H633" s="3">
        <f>SEARCH(",",F633)</f>
        <v>8</v>
      </c>
      <c r="I633" s="3">
        <f>SEARCH(")",F633)</f>
        <v>12</v>
      </c>
      <c r="J633" s="2" t="str">
        <f>IF(OR(ISERROR(G633),ISERROR(H633),ISERROR(I633)),"CORRUPT!","")</f>
        <v/>
      </c>
      <c r="K633" s="2" t="str">
        <f>IF(J633&lt;&gt;"","",MID(F633, G633+1, H633-G633-1))</f>
        <v>410</v>
      </c>
      <c r="L633" s="2">
        <f>IF(J633&lt;&gt;"","",LEN(K633))</f>
        <v>3</v>
      </c>
      <c r="M633" s="2" t="str">
        <f>IF(J633&lt;&gt;"","",MID(F633, H633+1, I633-H633-1))</f>
        <v>838</v>
      </c>
      <c r="N633" s="2">
        <f>IF(J633&lt;&gt;"","",LEN(M633))</f>
        <v>3</v>
      </c>
      <c r="O633" s="2">
        <f>IF(J633&lt;&gt;"","",K633*M633)</f>
        <v>343580</v>
      </c>
      <c r="R633" s="1" t="str">
        <v>697,677)+]when():</v>
      </c>
      <c r="S633" s="1" t="str">
        <v>464,153</v>
      </c>
      <c r="T633" s="1" t="str">
        <v>464</v>
      </c>
      <c r="U633" s="1" t="str">
        <v>153</v>
      </c>
      <c r="V633" s="1">
        <v>70992</v>
      </c>
    </row>
    <row r="634" spans="4:22" x14ac:dyDescent="0.3">
      <c r="D634" s="2">
        <v>631</v>
      </c>
      <c r="E634" s="2">
        <f>SEARCH("mul",$C$4,E633+1)</f>
        <v>15580</v>
      </c>
      <c r="F634" s="2" t="str">
        <f>MID($C$4,E634,$F$1)</f>
        <v>mul(102,412)whe</v>
      </c>
      <c r="G634" s="3">
        <f>SEARCH("(",F634)</f>
        <v>4</v>
      </c>
      <c r="H634" s="3">
        <f>SEARCH(",",F634)</f>
        <v>8</v>
      </c>
      <c r="I634" s="3">
        <f>SEARCH(")",F634)</f>
        <v>12</v>
      </c>
      <c r="J634" s="2" t="str">
        <f>IF(OR(ISERROR(G634),ISERROR(H634),ISERROR(I634)),"CORRUPT!","")</f>
        <v/>
      </c>
      <c r="K634" s="2" t="str">
        <f>IF(J634&lt;&gt;"","",MID(F634, G634+1, H634-G634-1))</f>
        <v>102</v>
      </c>
      <c r="L634" s="2">
        <f>IF(J634&lt;&gt;"","",LEN(K634))</f>
        <v>3</v>
      </c>
      <c r="M634" s="2" t="str">
        <f>IF(J634&lt;&gt;"","",MID(F634, H634+1, I634-H634-1))</f>
        <v>412</v>
      </c>
      <c r="N634" s="2">
        <f>IF(J634&lt;&gt;"","",LEN(M634))</f>
        <v>3</v>
      </c>
      <c r="O634" s="2">
        <f>IF(J634&lt;&gt;"","",K634*M634)</f>
        <v>42024</v>
      </c>
      <c r="R634" s="1" t="str">
        <v>246,278) $</v>
      </c>
      <c r="S634" s="1" t="str">
        <v>893,554</v>
      </c>
      <c r="T634" s="1" t="str">
        <v>893</v>
      </c>
      <c r="U634" s="1" t="str">
        <v>554</v>
      </c>
      <c r="V634" s="1">
        <v>494722</v>
      </c>
    </row>
    <row r="635" spans="4:22" x14ac:dyDescent="0.3">
      <c r="D635" s="2">
        <v>632</v>
      </c>
      <c r="E635" s="2">
        <f>SEARCH("mul",$C$4,E634+1)</f>
        <v>15599</v>
      </c>
      <c r="F635" s="2" t="str">
        <f>MID($C$4,E635,$F$1)</f>
        <v>mul(173,786)-![</v>
      </c>
      <c r="G635" s="3">
        <f>SEARCH("(",F635)</f>
        <v>4</v>
      </c>
      <c r="H635" s="3">
        <f>SEARCH(",",F635)</f>
        <v>8</v>
      </c>
      <c r="I635" s="3">
        <f>SEARCH(")",F635)</f>
        <v>12</v>
      </c>
      <c r="J635" s="2" t="str">
        <f>IF(OR(ISERROR(G635),ISERROR(H635),ISERROR(I635)),"CORRUPT!","")</f>
        <v/>
      </c>
      <c r="K635" s="2" t="str">
        <f>IF(J635&lt;&gt;"","",MID(F635, G635+1, H635-G635-1))</f>
        <v>173</v>
      </c>
      <c r="L635" s="2">
        <f>IF(J635&lt;&gt;"","",LEN(K635))</f>
        <v>3</v>
      </c>
      <c r="M635" s="2" t="str">
        <f>IF(J635&lt;&gt;"","",MID(F635, H635+1, I635-H635-1))</f>
        <v>786</v>
      </c>
      <c r="N635" s="2">
        <f>IF(J635&lt;&gt;"","",LEN(M635))</f>
        <v>3</v>
      </c>
      <c r="O635" s="2">
        <f>IF(J635&lt;&gt;"","",K635*M635)</f>
        <v>135978</v>
      </c>
      <c r="R635" s="1" t="str">
        <v>48,81)</v>
      </c>
      <c r="S635" s="1" t="str">
        <v>505,410</v>
      </c>
      <c r="T635" s="1" t="str">
        <v>505</v>
      </c>
      <c r="U635" s="1" t="str">
        <v>410</v>
      </c>
      <c r="V635" s="1">
        <v>207050</v>
      </c>
    </row>
    <row r="636" spans="4:22" x14ac:dyDescent="0.3">
      <c r="D636" s="2">
        <v>633</v>
      </c>
      <c r="E636" s="2">
        <f>SEARCH("mul",$C$4,E635+1)</f>
        <v>15614</v>
      </c>
      <c r="F636" s="2" t="str">
        <f>MID($C$4,E636,$F$1)</f>
        <v>mul(92,40)mul(8</v>
      </c>
      <c r="G636" s="3">
        <f>SEARCH("(",F636)</f>
        <v>4</v>
      </c>
      <c r="H636" s="3">
        <f>SEARCH(",",F636)</f>
        <v>7</v>
      </c>
      <c r="I636" s="3">
        <f>SEARCH(")",F636)</f>
        <v>10</v>
      </c>
      <c r="J636" s="2" t="str">
        <f>IF(OR(ISERROR(G636),ISERROR(H636),ISERROR(I636)),"CORRUPT!","")</f>
        <v/>
      </c>
      <c r="K636" s="2" t="str">
        <f>IF(J636&lt;&gt;"","",MID(F636, G636+1, H636-G636-1))</f>
        <v>92</v>
      </c>
      <c r="L636" s="2">
        <f>IF(J636&lt;&gt;"","",LEN(K636))</f>
        <v>2</v>
      </c>
      <c r="M636" s="2" t="str">
        <f>IF(J636&lt;&gt;"","",MID(F636, H636+1, I636-H636-1))</f>
        <v>40</v>
      </c>
      <c r="N636" s="2">
        <f>IF(J636&lt;&gt;"","",LEN(M636))</f>
        <v>2</v>
      </c>
      <c r="O636" s="2">
        <f>IF(J636&lt;&gt;"","",K636*M636)</f>
        <v>3680</v>
      </c>
      <c r="R636" s="1" t="str">
        <v xml:space="preserve">266,777)who())@*~!?)# </v>
      </c>
      <c r="S636" s="1" t="str">
        <v>282,701</v>
      </c>
      <c r="T636" s="1" t="str">
        <v>282</v>
      </c>
      <c r="U636" s="1" t="str">
        <v>701</v>
      </c>
      <c r="V636" s="1">
        <v>197682</v>
      </c>
    </row>
    <row r="637" spans="4:22" x14ac:dyDescent="0.3">
      <c r="D637" s="2">
        <v>634</v>
      </c>
      <c r="E637" s="2">
        <f>SEARCH("mul",$C$4,E636+1)</f>
        <v>15624</v>
      </c>
      <c r="F637" s="2" t="str">
        <f>MID($C$4,E637,$F$1)</f>
        <v>mul(888,277)'fr</v>
      </c>
      <c r="G637" s="3">
        <f>SEARCH("(",F637)</f>
        <v>4</v>
      </c>
      <c r="H637" s="3">
        <f>SEARCH(",",F637)</f>
        <v>8</v>
      </c>
      <c r="I637" s="3">
        <f>SEARCH(")",F637)</f>
        <v>12</v>
      </c>
      <c r="J637" s="2" t="str">
        <f>IF(OR(ISERROR(G637),ISERROR(H637),ISERROR(I637)),"CORRUPT!","")</f>
        <v/>
      </c>
      <c r="K637" s="2" t="str">
        <f>IF(J637&lt;&gt;"","",MID(F637, G637+1, H637-G637-1))</f>
        <v>888</v>
      </c>
      <c r="L637" s="2">
        <f>IF(J637&lt;&gt;"","",LEN(K637))</f>
        <v>3</v>
      </c>
      <c r="M637" s="2" t="str">
        <f>IF(J637&lt;&gt;"","",MID(F637, H637+1, I637-H637-1))</f>
        <v>277</v>
      </c>
      <c r="N637" s="2">
        <f>IF(J637&lt;&gt;"","",LEN(M637))</f>
        <v>3</v>
      </c>
      <c r="O637" s="2">
        <f>IF(J637&lt;&gt;"","",K637*M637)</f>
        <v>245976</v>
      </c>
      <c r="R637" s="1" t="str">
        <v>843,750}&lt;what()+&gt;</v>
      </c>
      <c r="S637" s="1" t="str">
        <v>101,631</v>
      </c>
      <c r="T637" s="1" t="str">
        <v>101</v>
      </c>
      <c r="U637" s="1" t="str">
        <v>631</v>
      </c>
      <c r="V637" s="1">
        <v>63731</v>
      </c>
    </row>
    <row r="638" spans="4:22" x14ac:dyDescent="0.3">
      <c r="D638" s="2">
        <v>635</v>
      </c>
      <c r="E638" s="2">
        <f>SEARCH("mul",$C$4,E637+1)</f>
        <v>15647</v>
      </c>
      <c r="F638" s="2" t="str">
        <f>MID($C$4,E638,$F$1)</f>
        <v>mul(390,731)@wh</v>
      </c>
      <c r="G638" s="3">
        <f>SEARCH("(",F638)</f>
        <v>4</v>
      </c>
      <c r="H638" s="3">
        <f>SEARCH(",",F638)</f>
        <v>8</v>
      </c>
      <c r="I638" s="3">
        <f>SEARCH(")",F638)</f>
        <v>12</v>
      </c>
      <c r="J638" s="2" t="str">
        <f>IF(OR(ISERROR(G638),ISERROR(H638),ISERROR(I638)),"CORRUPT!","")</f>
        <v/>
      </c>
      <c r="K638" s="2" t="str">
        <f>IF(J638&lt;&gt;"","",MID(F638, G638+1, H638-G638-1))</f>
        <v>390</v>
      </c>
      <c r="L638" s="2">
        <f>IF(J638&lt;&gt;"","",LEN(K638))</f>
        <v>3</v>
      </c>
      <c r="M638" s="2" t="str">
        <f>IF(J638&lt;&gt;"","",MID(F638, H638+1, I638-H638-1))</f>
        <v>731</v>
      </c>
      <c r="N638" s="2">
        <f>IF(J638&lt;&gt;"","",LEN(M638))</f>
        <v>3</v>
      </c>
      <c r="O638" s="2">
        <f>IF(J638&lt;&gt;"","",K638*M638)</f>
        <v>285090</v>
      </c>
      <c r="R638" s="1" t="str">
        <v>940,128)</v>
      </c>
      <c r="S638" s="1" t="str">
        <v>187,146</v>
      </c>
      <c r="T638" s="1" t="str">
        <v>187</v>
      </c>
      <c r="U638" s="1" t="str">
        <v>146</v>
      </c>
      <c r="V638" s="1">
        <v>27302</v>
      </c>
    </row>
    <row r="639" spans="4:22" x14ac:dyDescent="0.3">
      <c r="D639" s="2">
        <v>636</v>
      </c>
      <c r="E639" s="2">
        <f>SEARCH("mul",$C$4,E638+1)</f>
        <v>15682</v>
      </c>
      <c r="F639" s="2" t="str">
        <f>MID($C$4,E639,$F$1)</f>
        <v>mul(930,981)&gt;}f</v>
      </c>
      <c r="G639" s="3">
        <f>SEARCH("(",F639)</f>
        <v>4</v>
      </c>
      <c r="H639" s="3">
        <f>SEARCH(",",F639)</f>
        <v>8</v>
      </c>
      <c r="I639" s="3">
        <f>SEARCH(")",F639)</f>
        <v>12</v>
      </c>
      <c r="J639" s="2" t="str">
        <f>IF(OR(ISERROR(G639),ISERROR(H639),ISERROR(I639)),"CORRUPT!","")</f>
        <v/>
      </c>
      <c r="K639" s="2" t="str">
        <f>IF(J639&lt;&gt;"","",MID(F639, G639+1, H639-G639-1))</f>
        <v>930</v>
      </c>
      <c r="L639" s="2">
        <f>IF(J639&lt;&gt;"","",LEN(K639))</f>
        <v>3</v>
      </c>
      <c r="M639" s="2" t="str">
        <f>IF(J639&lt;&gt;"","",MID(F639, H639+1, I639-H639-1))</f>
        <v>981</v>
      </c>
      <c r="N639" s="2">
        <f>IF(J639&lt;&gt;"","",LEN(M639))</f>
        <v>3</v>
      </c>
      <c r="O639" s="2">
        <f>IF(J639&lt;&gt;"","",K639*M639)</f>
        <v>912330</v>
      </c>
      <c r="R639" s="1" t="str">
        <v>477,389)who()}:when())&lt;[when()</v>
      </c>
      <c r="S639" s="1" t="str">
        <v>424,344</v>
      </c>
      <c r="T639" s="1" t="str">
        <v>424</v>
      </c>
      <c r="U639" s="1" t="str">
        <v>344</v>
      </c>
      <c r="V639" s="1">
        <v>145856</v>
      </c>
    </row>
    <row r="640" spans="4:22" x14ac:dyDescent="0.3">
      <c r="D640" s="2">
        <v>637</v>
      </c>
      <c r="E640" s="2">
        <f>SEARCH("mul",$C$4,E639+1)</f>
        <v>15710</v>
      </c>
      <c r="F640" s="2" t="str">
        <f>MID($C$4,E640,$F$1)</f>
        <v>mul(740,619)~$w</v>
      </c>
      <c r="G640" s="3">
        <f>SEARCH("(",F640)</f>
        <v>4</v>
      </c>
      <c r="H640" s="3">
        <f>SEARCH(",",F640)</f>
        <v>8</v>
      </c>
      <c r="I640" s="3">
        <f>SEARCH(")",F640)</f>
        <v>12</v>
      </c>
      <c r="J640" s="2" t="str">
        <f>IF(OR(ISERROR(G640),ISERROR(H640),ISERROR(I640)),"CORRUPT!","")</f>
        <v/>
      </c>
      <c r="K640" s="2" t="str">
        <f>IF(J640&lt;&gt;"","",MID(F640, G640+1, H640-G640-1))</f>
        <v>740</v>
      </c>
      <c r="L640" s="2">
        <f>IF(J640&lt;&gt;"","",LEN(K640))</f>
        <v>3</v>
      </c>
      <c r="M640" s="2" t="str">
        <f>IF(J640&lt;&gt;"","",MID(F640, H640+1, I640-H640-1))</f>
        <v>619</v>
      </c>
      <c r="N640" s="2">
        <f>IF(J640&lt;&gt;"","",LEN(M640))</f>
        <v>3</v>
      </c>
      <c r="O640" s="2">
        <f>IF(J640&lt;&gt;"","",K640*M640)</f>
        <v>458060</v>
      </c>
      <c r="R640" s="1" t="str">
        <v>838,845)&lt;when():;*</v>
      </c>
      <c r="S640" s="1" t="str">
        <v>236,985</v>
      </c>
      <c r="T640" s="1" t="str">
        <v>236</v>
      </c>
      <c r="U640" s="1" t="str">
        <v>985</v>
      </c>
      <c r="V640" s="1">
        <v>232460</v>
      </c>
    </row>
    <row r="641" spans="4:22" x14ac:dyDescent="0.3">
      <c r="D641" s="2">
        <v>638</v>
      </c>
      <c r="E641" s="2">
        <f>SEARCH("mul",$C$4,E640+1)</f>
        <v>15748</v>
      </c>
      <c r="F641" s="2" t="str">
        <f>MID($C$4,E641,$F$1)</f>
        <v>mul(291;^&lt;-mul(</v>
      </c>
      <c r="G641" s="3">
        <f>SEARCH("(",F641)</f>
        <v>4</v>
      </c>
      <c r="H641" s="3" t="e">
        <f>SEARCH(",",F641)</f>
        <v>#VALUE!</v>
      </c>
      <c r="I641" s="3" t="e">
        <f>SEARCH(")",F641)</f>
        <v>#VALUE!</v>
      </c>
      <c r="J641" s="2" t="str">
        <f>IF(OR(ISERROR(G641),ISERROR(H641),ISERROR(I641)),"CORRUPT!","")</f>
        <v>CORRUPT!</v>
      </c>
      <c r="K641" s="2" t="str">
        <f>IF(J641&lt;&gt;"","",MID(F641, G641+1, H641-G641-1))</f>
        <v/>
      </c>
      <c r="L641" s="2" t="str">
        <f>IF(J641&lt;&gt;"","",LEN(K641))</f>
        <v/>
      </c>
      <c r="M641" s="2" t="str">
        <f>IF(J641&lt;&gt;"","",MID(F641, H641+1, I641-H641-1))</f>
        <v/>
      </c>
      <c r="N641" s="2" t="str">
        <f>IF(J641&lt;&gt;"","",LEN(M641))</f>
        <v/>
      </c>
      <c r="O641" s="2" t="str">
        <f>IF(J641&lt;&gt;"","",K641*M641)</f>
        <v/>
      </c>
      <c r="R641" s="1" t="str">
        <v>248,817)don't()+what();&amp;/)?&gt;~</v>
      </c>
      <c r="S641" s="1" t="str">
        <v>310,399</v>
      </c>
      <c r="T641" s="1" t="str">
        <v>310</v>
      </c>
      <c r="U641" s="1" t="str">
        <v>399</v>
      </c>
      <c r="V641" s="1">
        <v>123690</v>
      </c>
    </row>
    <row r="642" spans="4:22" x14ac:dyDescent="0.3">
      <c r="D642" s="2">
        <v>639</v>
      </c>
      <c r="E642" s="2">
        <f>SEARCH("mul",$C$4,E641+1)</f>
        <v>15759</v>
      </c>
      <c r="F642" s="2" t="str">
        <f>MID($C$4,E642,$F$1)</f>
        <v>mul(266,422)@%s</v>
      </c>
      <c r="G642" s="3">
        <f>SEARCH("(",F642)</f>
        <v>4</v>
      </c>
      <c r="H642" s="3">
        <f>SEARCH(",",F642)</f>
        <v>8</v>
      </c>
      <c r="I642" s="3">
        <f>SEARCH(")",F642)</f>
        <v>12</v>
      </c>
      <c r="J642" s="2" t="str">
        <f>IF(OR(ISERROR(G642),ISERROR(H642),ISERROR(I642)),"CORRUPT!","")</f>
        <v/>
      </c>
      <c r="K642" s="2" t="str">
        <f>IF(J642&lt;&gt;"","",MID(F642, G642+1, H642-G642-1))</f>
        <v>266</v>
      </c>
      <c r="L642" s="2">
        <f>IF(J642&lt;&gt;"","",LEN(K642))</f>
        <v>3</v>
      </c>
      <c r="M642" s="2" t="str">
        <f>IF(J642&lt;&gt;"","",MID(F642, H642+1, I642-H642-1))</f>
        <v>422</v>
      </c>
      <c r="N642" s="2">
        <f>IF(J642&lt;&gt;"","",LEN(M642))</f>
        <v>3</v>
      </c>
      <c r="O642" s="2">
        <f>IF(J642&lt;&gt;"","",K642*M642)</f>
        <v>112252</v>
      </c>
      <c r="R642" s="1" t="str">
        <v>464,153)why(166,536)&lt;/</v>
      </c>
      <c r="S642" s="1" t="str">
        <v>389,902</v>
      </c>
      <c r="T642" s="1" t="str">
        <v>389</v>
      </c>
      <c r="U642" s="1" t="str">
        <v>902</v>
      </c>
      <c r="V642" s="1">
        <v>350878</v>
      </c>
    </row>
    <row r="643" spans="4:22" x14ac:dyDescent="0.3">
      <c r="D643" s="2">
        <v>640</v>
      </c>
      <c r="E643" s="2">
        <f>SEARCH("mul",$C$4,E642+1)</f>
        <v>15789</v>
      </c>
      <c r="F643" s="2" t="str">
        <f>MID($C$4,E643,$F$1)</f>
        <v>mul(794,513)whe</v>
      </c>
      <c r="G643" s="3">
        <f>SEARCH("(",F643)</f>
        <v>4</v>
      </c>
      <c r="H643" s="3">
        <f>SEARCH(",",F643)</f>
        <v>8</v>
      </c>
      <c r="I643" s="3">
        <f>SEARCH(")",F643)</f>
        <v>12</v>
      </c>
      <c r="J643" s="2" t="str">
        <f>IF(OR(ISERROR(G643),ISERROR(H643),ISERROR(I643)),"CORRUPT!","")</f>
        <v/>
      </c>
      <c r="K643" s="2" t="str">
        <f>IF(J643&lt;&gt;"","",MID(F643, G643+1, H643-G643-1))</f>
        <v>794</v>
      </c>
      <c r="L643" s="2">
        <f>IF(J643&lt;&gt;"","",LEN(K643))</f>
        <v>3</v>
      </c>
      <c r="M643" s="2" t="str">
        <f>IF(J643&lt;&gt;"","",MID(F643, H643+1, I643-H643-1))</f>
        <v>513</v>
      </c>
      <c r="N643" s="2">
        <f>IF(J643&lt;&gt;"","",LEN(M643))</f>
        <v>3</v>
      </c>
      <c r="O643" s="2">
        <f>IF(J643&lt;&gt;"","",K643*M643)</f>
        <v>407322</v>
      </c>
      <c r="R643" s="1" t="str">
        <v>893,554)when()what(){how()&amp;how()</v>
      </c>
      <c r="S643" s="1" t="str">
        <v>265,840</v>
      </c>
      <c r="T643" s="1" t="str">
        <v>265</v>
      </c>
      <c r="U643" s="1" t="str">
        <v>840</v>
      </c>
      <c r="V643" s="1">
        <v>222600</v>
      </c>
    </row>
    <row r="644" spans="4:22" x14ac:dyDescent="0.3">
      <c r="D644" s="2">
        <v>641</v>
      </c>
      <c r="E644" s="2">
        <f>SEARCH("mul",$C$4,E643+1)</f>
        <v>15811</v>
      </c>
      <c r="F644" s="2" t="str">
        <f>MID($C$4,E644,$F$1)</f>
        <v>mul(944,970)!wh</v>
      </c>
      <c r="G644" s="3">
        <f>SEARCH("(",F644)</f>
        <v>4</v>
      </c>
      <c r="H644" s="3">
        <f>SEARCH(",",F644)</f>
        <v>8</v>
      </c>
      <c r="I644" s="3">
        <f>SEARCH(")",F644)</f>
        <v>12</v>
      </c>
      <c r="J644" s="2" t="str">
        <f>IF(OR(ISERROR(G644),ISERROR(H644),ISERROR(I644)),"CORRUPT!","")</f>
        <v/>
      </c>
      <c r="K644" s="2" t="str">
        <f>IF(J644&lt;&gt;"","",MID(F644, G644+1, H644-G644-1))</f>
        <v>944</v>
      </c>
      <c r="L644" s="2">
        <f>IF(J644&lt;&gt;"","",LEN(K644))</f>
        <v>3</v>
      </c>
      <c r="M644" s="2" t="str">
        <f>IF(J644&lt;&gt;"","",MID(F644, H644+1, I644-H644-1))</f>
        <v>970</v>
      </c>
      <c r="N644" s="2">
        <f>IF(J644&lt;&gt;"","",LEN(M644))</f>
        <v>3</v>
      </c>
      <c r="O644" s="2">
        <f>IF(J644&lt;&gt;"","",K644*M644)</f>
        <v>915680</v>
      </c>
      <c r="R644" s="1" t="str">
        <v>505,410)&gt;{/&amp;,~</v>
      </c>
      <c r="S644" s="1" t="str">
        <v>652,469</v>
      </c>
      <c r="T644" s="1" t="str">
        <v>652</v>
      </c>
      <c r="U644" s="1" t="str">
        <v>469</v>
      </c>
      <c r="V644" s="1">
        <v>305788</v>
      </c>
    </row>
    <row r="645" spans="4:22" x14ac:dyDescent="0.3">
      <c r="D645" s="2">
        <v>642</v>
      </c>
      <c r="E645" s="2">
        <f>SEARCH("mul",$C$4,E644+1)</f>
        <v>15830</v>
      </c>
      <c r="F645" s="2" t="str">
        <f>MID($C$4,E645,$F$1)</f>
        <v>mul(968,484)&lt;fr</v>
      </c>
      <c r="G645" s="3">
        <f>SEARCH("(",F645)</f>
        <v>4</v>
      </c>
      <c r="H645" s="3">
        <f>SEARCH(",",F645)</f>
        <v>8</v>
      </c>
      <c r="I645" s="3">
        <f>SEARCH(")",F645)</f>
        <v>12</v>
      </c>
      <c r="J645" s="2" t="str">
        <f>IF(OR(ISERROR(G645),ISERROR(H645),ISERROR(I645)),"CORRUPT!","")</f>
        <v/>
      </c>
      <c r="K645" s="2" t="str">
        <f>IF(J645&lt;&gt;"","",MID(F645, G645+1, H645-G645-1))</f>
        <v>968</v>
      </c>
      <c r="L645" s="2">
        <f>IF(J645&lt;&gt;"","",LEN(K645))</f>
        <v>3</v>
      </c>
      <c r="M645" s="2" t="str">
        <f>IF(J645&lt;&gt;"","",MID(F645, H645+1, I645-H645-1))</f>
        <v>484</v>
      </c>
      <c r="N645" s="2">
        <f>IF(J645&lt;&gt;"","",LEN(M645))</f>
        <v>3</v>
      </c>
      <c r="O645" s="2">
        <f>IF(J645&lt;&gt;"","",K645*M645)</f>
        <v>468512</v>
      </c>
      <c r="R645" s="1" t="str">
        <v>282,701) -!?from();</v>
      </c>
      <c r="S645" s="1" t="str">
        <v>792,402</v>
      </c>
      <c r="T645" s="1" t="str">
        <v>792</v>
      </c>
      <c r="U645" s="1" t="str">
        <v>402</v>
      </c>
      <c r="V645" s="1">
        <v>318384</v>
      </c>
    </row>
    <row r="646" spans="4:22" x14ac:dyDescent="0.3">
      <c r="D646" s="2">
        <v>643</v>
      </c>
      <c r="E646" s="2">
        <f>SEARCH("mul",$C$4,E645+1)</f>
        <v>15864</v>
      </c>
      <c r="F646" s="2" t="str">
        <f>MID($C$4,E646,$F$1)</f>
        <v>mul(285,45)when</v>
      </c>
      <c r="G646" s="3">
        <f>SEARCH("(",F646)</f>
        <v>4</v>
      </c>
      <c r="H646" s="3">
        <f>SEARCH(",",F646)</f>
        <v>8</v>
      </c>
      <c r="I646" s="3">
        <f>SEARCH(")",F646)</f>
        <v>11</v>
      </c>
      <c r="J646" s="2" t="str">
        <f>IF(OR(ISERROR(G646),ISERROR(H646),ISERROR(I646)),"CORRUPT!","")</f>
        <v/>
      </c>
      <c r="K646" s="2" t="str">
        <f>IF(J646&lt;&gt;"","",MID(F646, G646+1, H646-G646-1))</f>
        <v>285</v>
      </c>
      <c r="L646" s="2">
        <f>IF(J646&lt;&gt;"","",LEN(K646))</f>
        <v>3</v>
      </c>
      <c r="M646" s="2" t="str">
        <f>IF(J646&lt;&gt;"","",MID(F646, H646+1, I646-H646-1))</f>
        <v>45</v>
      </c>
      <c r="N646" s="2">
        <f>IF(J646&lt;&gt;"","",LEN(M646))</f>
        <v>2</v>
      </c>
      <c r="O646" s="2">
        <f>IF(J646&lt;&gt;"","",K646*M646)</f>
        <v>12825</v>
      </c>
      <c r="R646" s="1" t="str">
        <v>101,631)from()&lt;when()*&amp;</v>
      </c>
      <c r="S646" s="1" t="str">
        <v>720,836</v>
      </c>
      <c r="T646" s="1" t="str">
        <v>720</v>
      </c>
      <c r="U646" s="1" t="str">
        <v>836</v>
      </c>
      <c r="V646" s="1">
        <v>601920</v>
      </c>
    </row>
    <row r="647" spans="4:22" x14ac:dyDescent="0.3">
      <c r="D647" s="2">
        <v>644</v>
      </c>
      <c r="E647" s="2">
        <f>SEARCH("mul",$C$4,E646+1)</f>
        <v>15894</v>
      </c>
      <c r="F647" s="2" t="str">
        <f>MID($C$4,E647,$F$1)</f>
        <v>mul(728,164),#/</v>
      </c>
      <c r="G647" s="3">
        <f>SEARCH("(",F647)</f>
        <v>4</v>
      </c>
      <c r="H647" s="3">
        <f>SEARCH(",",F647)</f>
        <v>8</v>
      </c>
      <c r="I647" s="3">
        <f>SEARCH(")",F647)</f>
        <v>12</v>
      </c>
      <c r="J647" s="2" t="str">
        <f>IF(OR(ISERROR(G647),ISERROR(H647),ISERROR(I647)),"CORRUPT!","")</f>
        <v/>
      </c>
      <c r="K647" s="2" t="str">
        <f>IF(J647&lt;&gt;"","",MID(F647, G647+1, H647-G647-1))</f>
        <v>728</v>
      </c>
      <c r="L647" s="2">
        <f>IF(J647&lt;&gt;"","",LEN(K647))</f>
        <v>3</v>
      </c>
      <c r="M647" s="2" t="str">
        <f>IF(J647&lt;&gt;"","",MID(F647, H647+1, I647-H647-1))</f>
        <v>164</v>
      </c>
      <c r="N647" s="2">
        <f>IF(J647&lt;&gt;"","",LEN(M647))</f>
        <v>3</v>
      </c>
      <c r="O647" s="2">
        <f>IF(J647&lt;&gt;"","",K647*M647)</f>
        <v>119392</v>
      </c>
      <c r="R647" s="1" t="str">
        <v>187,146)[@+&lt;?{[#{&lt;</v>
      </c>
      <c r="S647" s="1" t="str">
        <v>757,143</v>
      </c>
      <c r="T647" s="1" t="str">
        <v>757</v>
      </c>
      <c r="U647" s="1" t="str">
        <v>143</v>
      </c>
      <c r="V647" s="1">
        <v>108251</v>
      </c>
    </row>
    <row r="648" spans="4:22" x14ac:dyDescent="0.3">
      <c r="D648" s="2">
        <v>645</v>
      </c>
      <c r="E648" s="2">
        <f>SEARCH("mul",$C$4,E647+1)</f>
        <v>15911</v>
      </c>
      <c r="F648" s="2" t="str">
        <f>MID($C$4,E648,$F$1)</f>
        <v>mul(568,114)%@:</v>
      </c>
      <c r="G648" s="3">
        <f>SEARCH("(",F648)</f>
        <v>4</v>
      </c>
      <c r="H648" s="3">
        <f>SEARCH(",",F648)</f>
        <v>8</v>
      </c>
      <c r="I648" s="3">
        <f>SEARCH(")",F648)</f>
        <v>12</v>
      </c>
      <c r="J648" s="2" t="str">
        <f>IF(OR(ISERROR(G648),ISERROR(H648),ISERROR(I648)),"CORRUPT!","")</f>
        <v/>
      </c>
      <c r="K648" s="2" t="str">
        <f>IF(J648&lt;&gt;"","",MID(F648, G648+1, H648-G648-1))</f>
        <v>568</v>
      </c>
      <c r="L648" s="2">
        <f>IF(J648&lt;&gt;"","",LEN(K648))</f>
        <v>3</v>
      </c>
      <c r="M648" s="2" t="str">
        <f>IF(J648&lt;&gt;"","",MID(F648, H648+1, I648-H648-1))</f>
        <v>114</v>
      </c>
      <c r="N648" s="2">
        <f>IF(J648&lt;&gt;"","",LEN(M648))</f>
        <v>3</v>
      </c>
      <c r="O648" s="2">
        <f>IF(J648&lt;&gt;"","",K648*M648)</f>
        <v>64752</v>
      </c>
      <c r="R648" s="1" t="str">
        <v>424,344);!?why()%}what()*&gt;/</v>
      </c>
      <c r="S648" s="1" t="str">
        <v>810,426</v>
      </c>
      <c r="T648" s="1" t="str">
        <v>810</v>
      </c>
      <c r="U648" s="1" t="str">
        <v>426</v>
      </c>
      <c r="V648" s="1">
        <v>345060</v>
      </c>
    </row>
    <row r="649" spans="4:22" x14ac:dyDescent="0.3">
      <c r="D649" s="2">
        <v>646</v>
      </c>
      <c r="E649" s="2">
        <f>SEARCH("mul",$C$4,E648+1)</f>
        <v>15938</v>
      </c>
      <c r="F649" s="2" t="str">
        <f>MID($C$4,E649,$F$1)</f>
        <v>mul(763,536)?@m</v>
      </c>
      <c r="G649" s="3">
        <f>SEARCH("(",F649)</f>
        <v>4</v>
      </c>
      <c r="H649" s="3">
        <f>SEARCH(",",F649)</f>
        <v>8</v>
      </c>
      <c r="I649" s="3">
        <f>SEARCH(")",F649)</f>
        <v>12</v>
      </c>
      <c r="J649" s="2" t="str">
        <f>IF(OR(ISERROR(G649),ISERROR(H649),ISERROR(I649)),"CORRUPT!","")</f>
        <v/>
      </c>
      <c r="K649" s="2" t="str">
        <f>IF(J649&lt;&gt;"","",MID(F649, G649+1, H649-G649-1))</f>
        <v>763</v>
      </c>
      <c r="L649" s="2">
        <f>IF(J649&lt;&gt;"","",LEN(K649))</f>
        <v>3</v>
      </c>
      <c r="M649" s="2" t="str">
        <f>IF(J649&lt;&gt;"","",MID(F649, H649+1, I649-H649-1))</f>
        <v>536</v>
      </c>
      <c r="N649" s="2">
        <f>IF(J649&lt;&gt;"","",LEN(M649))</f>
        <v>3</v>
      </c>
      <c r="O649" s="2">
        <f>IF(J649&lt;&gt;"","",K649*M649)</f>
        <v>408968</v>
      </c>
      <c r="R649" s="1" t="str">
        <v>236,985)why(458,58)do()&amp;*&amp;&gt;how()</v>
      </c>
      <c r="S649" s="1" t="str">
        <v>596,769</v>
      </c>
      <c r="T649" s="1" t="str">
        <v>596</v>
      </c>
      <c r="U649" s="1" t="str">
        <v>769</v>
      </c>
      <c r="V649" s="1">
        <v>458324</v>
      </c>
    </row>
    <row r="650" spans="4:22" x14ac:dyDescent="0.3">
      <c r="D650" s="2">
        <v>647</v>
      </c>
      <c r="E650" s="2">
        <f>SEARCH("mul",$C$4,E649+1)</f>
        <v>15952</v>
      </c>
      <c r="F650" s="2" t="str">
        <f>MID($C$4,E650,$F$1)</f>
        <v>mul(506,503))do</v>
      </c>
      <c r="G650" s="3">
        <f>SEARCH("(",F650)</f>
        <v>4</v>
      </c>
      <c r="H650" s="3">
        <f>SEARCH(",",F650)</f>
        <v>8</v>
      </c>
      <c r="I650" s="3">
        <f>SEARCH(")",F650)</f>
        <v>12</v>
      </c>
      <c r="J650" s="2" t="str">
        <f>IF(OR(ISERROR(G650),ISERROR(H650),ISERROR(I650)),"CORRUPT!","")</f>
        <v/>
      </c>
      <c r="K650" s="2" t="str">
        <f>IF(J650&lt;&gt;"","",MID(F650, G650+1, H650-G650-1))</f>
        <v>506</v>
      </c>
      <c r="L650" s="2">
        <f>IF(J650&lt;&gt;"","",LEN(K650))</f>
        <v>3</v>
      </c>
      <c r="M650" s="2" t="str">
        <f>IF(J650&lt;&gt;"","",MID(F650, H650+1, I650-H650-1))</f>
        <v>503</v>
      </c>
      <c r="N650" s="2">
        <f>IF(J650&lt;&gt;"","",LEN(M650))</f>
        <v>3</v>
      </c>
      <c r="O650" s="2">
        <f>IF(J650&lt;&gt;"","",K650*M650)</f>
        <v>254518</v>
      </c>
      <c r="R650" s="1" t="str">
        <v xml:space="preserve">310,399) :{}^]don't()-&gt;when()from()+ </v>
      </c>
      <c r="S650" s="1" t="str">
        <v>67,919</v>
      </c>
      <c r="T650" s="1" t="str">
        <v>67</v>
      </c>
      <c r="U650" s="1" t="str">
        <v>919</v>
      </c>
      <c r="V650" s="1">
        <v>61573</v>
      </c>
    </row>
    <row r="651" spans="4:22" x14ac:dyDescent="0.3">
      <c r="D651" s="2">
        <v>648</v>
      </c>
      <c r="E651" s="2">
        <f>SEARCH("mul",$C$4,E650+1)</f>
        <v>15973</v>
      </c>
      <c r="F651" s="2" t="str">
        <f>MID($C$4,E651,$F$1)</f>
        <v>mul(763,386)/wh</v>
      </c>
      <c r="G651" s="3">
        <f>SEARCH("(",F651)</f>
        <v>4</v>
      </c>
      <c r="H651" s="3">
        <f>SEARCH(",",F651)</f>
        <v>8</v>
      </c>
      <c r="I651" s="3">
        <f>SEARCH(")",F651)</f>
        <v>12</v>
      </c>
      <c r="J651" s="2" t="str">
        <f>IF(OR(ISERROR(G651),ISERROR(H651),ISERROR(I651)),"CORRUPT!","")</f>
        <v/>
      </c>
      <c r="K651" s="2" t="str">
        <f>IF(J651&lt;&gt;"","",MID(F651, G651+1, H651-G651-1))</f>
        <v>763</v>
      </c>
      <c r="L651" s="2">
        <f>IF(J651&lt;&gt;"","",LEN(K651))</f>
        <v>3</v>
      </c>
      <c r="M651" s="2" t="str">
        <f>IF(J651&lt;&gt;"","",MID(F651, H651+1, I651-H651-1))</f>
        <v>386</v>
      </c>
      <c r="N651" s="2">
        <f>IF(J651&lt;&gt;"","",LEN(M651))</f>
        <v>3</v>
      </c>
      <c r="O651" s="2">
        <f>IF(J651&lt;&gt;"","",K651*M651)</f>
        <v>294518</v>
      </c>
      <c r="R651" s="1" t="str">
        <v>389,902)why(301,687) select()}&gt; who()</v>
      </c>
      <c r="S651" s="1" t="str">
        <v>794,823</v>
      </c>
      <c r="T651" s="1" t="str">
        <v>794</v>
      </c>
      <c r="U651" s="1" t="str">
        <v>823</v>
      </c>
      <c r="V651" s="1">
        <v>653462</v>
      </c>
    </row>
    <row r="652" spans="4:22" x14ac:dyDescent="0.3">
      <c r="D652" s="2">
        <v>649</v>
      </c>
      <c r="E652" s="2">
        <f>SEARCH("mul",$C$4,E651+1)</f>
        <v>16024</v>
      </c>
      <c r="F652" s="2" t="str">
        <f>MID($C$4,E652,$F$1)</f>
        <v>mul(260,628)?:'</v>
      </c>
      <c r="G652" s="3">
        <f>SEARCH("(",F652)</f>
        <v>4</v>
      </c>
      <c r="H652" s="3">
        <f>SEARCH(",",F652)</f>
        <v>8</v>
      </c>
      <c r="I652" s="3">
        <f>SEARCH(")",F652)</f>
        <v>12</v>
      </c>
      <c r="J652" s="2" t="str">
        <f>IF(OR(ISERROR(G652),ISERROR(H652),ISERROR(I652)),"CORRUPT!","")</f>
        <v/>
      </c>
      <c r="K652" s="2" t="str">
        <f>IF(J652&lt;&gt;"","",MID(F652, G652+1, H652-G652-1))</f>
        <v>260</v>
      </c>
      <c r="L652" s="2">
        <f>IF(J652&lt;&gt;"","",LEN(K652))</f>
        <v>3</v>
      </c>
      <c r="M652" s="2" t="str">
        <f>IF(J652&lt;&gt;"","",MID(F652, H652+1, I652-H652-1))</f>
        <v>628</v>
      </c>
      <c r="N652" s="2">
        <f>IF(J652&lt;&gt;"","",LEN(M652))</f>
        <v>3</v>
      </c>
      <c r="O652" s="2">
        <f>IF(J652&lt;&gt;"","",K652*M652)</f>
        <v>163280</v>
      </c>
      <c r="R652" s="1" t="str">
        <v>265,840)/</v>
      </c>
      <c r="S652" s="1" t="str">
        <v>872~%how(</v>
      </c>
      <c r="T652" s="1" t="e">
        <v>#N/A</v>
      </c>
      <c r="U652" s="1" t="e">
        <v>#N/A</v>
      </c>
      <c r="V652" s="1">
        <v>0</v>
      </c>
    </row>
    <row r="653" spans="4:22" x14ac:dyDescent="0.3">
      <c r="D653" s="2">
        <v>650</v>
      </c>
      <c r="E653" s="2">
        <f>SEARCH("mul",$C$4,E652+1)</f>
        <v>16049</v>
      </c>
      <c r="F653" s="2" t="str">
        <f>MID($C$4,E653,$F$1)</f>
        <v>mul(697,677)+]w</v>
      </c>
      <c r="G653" s="3">
        <f>SEARCH("(",F653)</f>
        <v>4</v>
      </c>
      <c r="H653" s="3">
        <f>SEARCH(",",F653)</f>
        <v>8</v>
      </c>
      <c r="I653" s="3">
        <f>SEARCH(")",F653)</f>
        <v>12</v>
      </c>
      <c r="J653" s="2" t="str">
        <f>IF(OR(ISERROR(G653),ISERROR(H653),ISERROR(I653)),"CORRUPT!","")</f>
        <v/>
      </c>
      <c r="K653" s="2" t="str">
        <f>IF(J653&lt;&gt;"","",MID(F653, G653+1, H653-G653-1))</f>
        <v>697</v>
      </c>
      <c r="L653" s="2">
        <f>IF(J653&lt;&gt;"","",LEN(K653))</f>
        <v>3</v>
      </c>
      <c r="M653" s="2" t="str">
        <f>IF(J653&lt;&gt;"","",MID(F653, H653+1, I653-H653-1))</f>
        <v>677</v>
      </c>
      <c r="N653" s="2">
        <f>IF(J653&lt;&gt;"","",LEN(M653))</f>
        <v>3</v>
      </c>
      <c r="O653" s="2">
        <f>IF(J653&lt;&gt;"","",K653*M653)</f>
        <v>471869</v>
      </c>
      <c r="R653" s="1" t="str">
        <v>652,469)~where()what(){&lt;&gt;~</v>
      </c>
      <c r="S653" s="1" t="str">
        <v>413,924</v>
      </c>
      <c r="T653" s="1" t="str">
        <v>413</v>
      </c>
      <c r="U653" s="1" t="str">
        <v>924</v>
      </c>
      <c r="V653" s="1">
        <v>381612</v>
      </c>
    </row>
    <row r="654" spans="4:22" x14ac:dyDescent="0.3">
      <c r="D654" s="2">
        <v>651</v>
      </c>
      <c r="E654" s="2">
        <f>SEARCH("mul",$C$4,E653+1)</f>
        <v>16070</v>
      </c>
      <c r="F654" s="2" t="str">
        <f>MID($C$4,E654,$F$1)</f>
        <v>mul(246,278) $m</v>
      </c>
      <c r="G654" s="3">
        <f>SEARCH("(",F654)</f>
        <v>4</v>
      </c>
      <c r="H654" s="3">
        <f>SEARCH(",",F654)</f>
        <v>8</v>
      </c>
      <c r="I654" s="3">
        <f>SEARCH(")",F654)</f>
        <v>12</v>
      </c>
      <c r="J654" s="2" t="str">
        <f>IF(OR(ISERROR(G654),ISERROR(H654),ISERROR(I654)),"CORRUPT!","")</f>
        <v/>
      </c>
      <c r="K654" s="2" t="str">
        <f>IF(J654&lt;&gt;"","",MID(F654, G654+1, H654-G654-1))</f>
        <v>246</v>
      </c>
      <c r="L654" s="2">
        <f>IF(J654&lt;&gt;"","",LEN(K654))</f>
        <v>3</v>
      </c>
      <c r="M654" s="2" t="str">
        <f>IF(J654&lt;&gt;"","",MID(F654, H654+1, I654-H654-1))</f>
        <v>278</v>
      </c>
      <c r="N654" s="2">
        <f>IF(J654&lt;&gt;"","",LEN(M654))</f>
        <v>3</v>
      </c>
      <c r="O654" s="2">
        <f>IF(J654&lt;&gt;"","",K654*M654)</f>
        <v>68388</v>
      </c>
      <c r="R654" s="1" t="str">
        <v>792,402);&gt; $+@select(747,467)[</v>
      </c>
      <c r="S654" s="1" t="str">
        <v>30,409</v>
      </c>
      <c r="T654" s="1" t="str">
        <v>30</v>
      </c>
      <c r="U654" s="1" t="str">
        <v>409</v>
      </c>
      <c r="V654" s="1">
        <v>12270</v>
      </c>
    </row>
    <row r="655" spans="4:22" x14ac:dyDescent="0.3">
      <c r="D655" s="2">
        <v>652</v>
      </c>
      <c r="E655" s="2">
        <f>SEARCH("mul",$C$4,E654+1)</f>
        <v>16084</v>
      </c>
      <c r="F655" s="2" t="str">
        <f>MID($C$4,E655,$F$1)</f>
        <v>mul(48,81)mul(2</v>
      </c>
      <c r="G655" s="3">
        <f>SEARCH("(",F655)</f>
        <v>4</v>
      </c>
      <c r="H655" s="3">
        <f>SEARCH(",",F655)</f>
        <v>7</v>
      </c>
      <c r="I655" s="3">
        <f>SEARCH(")",F655)</f>
        <v>10</v>
      </c>
      <c r="J655" s="2" t="str">
        <f>IF(OR(ISERROR(G655),ISERROR(H655),ISERROR(I655)),"CORRUPT!","")</f>
        <v/>
      </c>
      <c r="K655" s="2" t="str">
        <f>IF(J655&lt;&gt;"","",MID(F655, G655+1, H655-G655-1))</f>
        <v>48</v>
      </c>
      <c r="L655" s="2">
        <f>IF(J655&lt;&gt;"","",LEN(K655))</f>
        <v>2</v>
      </c>
      <c r="M655" s="2" t="str">
        <f>IF(J655&lt;&gt;"","",MID(F655, H655+1, I655-H655-1))</f>
        <v>81</v>
      </c>
      <c r="N655" s="2">
        <f>IF(J655&lt;&gt;"","",LEN(M655))</f>
        <v>2</v>
      </c>
      <c r="O655" s="2">
        <f>IF(J655&lt;&gt;"","",K655*M655)</f>
        <v>3888</v>
      </c>
      <c r="R655" s="1" t="str">
        <v>720,836)%what(984,399)[select()-+{}}</v>
      </c>
      <c r="S655" s="1" t="str">
        <v>916,685what(</v>
      </c>
      <c r="T655" s="1" t="str">
        <v>916</v>
      </c>
      <c r="U655" s="1" t="str">
        <v>685what(</v>
      </c>
      <c r="V655" s="1">
        <v>0</v>
      </c>
    </row>
    <row r="656" spans="4:22" x14ac:dyDescent="0.3">
      <c r="D656" s="2">
        <v>653</v>
      </c>
      <c r="E656" s="2">
        <f>SEARCH("mul",$C$4,E655+1)</f>
        <v>16094</v>
      </c>
      <c r="F656" s="2" t="str">
        <f>MID($C$4,E656,$F$1)</f>
        <v>mul(266,777)who</v>
      </c>
      <c r="G656" s="3">
        <f>SEARCH("(",F656)</f>
        <v>4</v>
      </c>
      <c r="H656" s="3">
        <f>SEARCH(",",F656)</f>
        <v>8</v>
      </c>
      <c r="I656" s="3">
        <f>SEARCH(")",F656)</f>
        <v>12</v>
      </c>
      <c r="J656" s="2" t="str">
        <f>IF(OR(ISERROR(G656),ISERROR(H656),ISERROR(I656)),"CORRUPT!","")</f>
        <v/>
      </c>
      <c r="K656" s="2" t="str">
        <f>IF(J656&lt;&gt;"","",MID(F656, G656+1, H656-G656-1))</f>
        <v>266</v>
      </c>
      <c r="L656" s="2">
        <f>IF(J656&lt;&gt;"","",LEN(K656))</f>
        <v>3</v>
      </c>
      <c r="M656" s="2" t="str">
        <f>IF(J656&lt;&gt;"","",MID(F656, H656+1, I656-H656-1))</f>
        <v>777</v>
      </c>
      <c r="N656" s="2">
        <f>IF(J656&lt;&gt;"","",LEN(M656))</f>
        <v>3</v>
      </c>
      <c r="O656" s="2">
        <f>IF(J656&lt;&gt;"","",K656*M656)</f>
        <v>206682</v>
      </c>
      <c r="R656" s="1" t="str">
        <v>757,143)-)%from(),)+where()</v>
      </c>
      <c r="S656" s="1" t="str">
        <v>494,862</v>
      </c>
      <c r="T656" s="1" t="str">
        <v>494</v>
      </c>
      <c r="U656" s="1" t="str">
        <v>862</v>
      </c>
      <c r="V656" s="1">
        <v>425828</v>
      </c>
    </row>
    <row r="657" spans="4:22" x14ac:dyDescent="0.3">
      <c r="D657" s="2">
        <v>654</v>
      </c>
      <c r="E657" s="2">
        <f>SEARCH("mul",$C$4,E656+1)</f>
        <v>16120</v>
      </c>
      <c r="F657" s="2" t="str">
        <f>MID($C$4,E657,$F$1)</f>
        <v>mul(843,750}&lt;wh</v>
      </c>
      <c r="G657" s="3">
        <f>SEARCH("(",F657)</f>
        <v>4</v>
      </c>
      <c r="H657" s="3">
        <f>SEARCH(",",F657)</f>
        <v>8</v>
      </c>
      <c r="I657" s="3" t="e">
        <f>SEARCH(")",F657)</f>
        <v>#VALUE!</v>
      </c>
      <c r="J657" s="2" t="str">
        <f>IF(OR(ISERROR(G657),ISERROR(H657),ISERROR(I657)),"CORRUPT!","")</f>
        <v>CORRUPT!</v>
      </c>
      <c r="K657" s="2" t="str">
        <f>IF(J657&lt;&gt;"","",MID(F657, G657+1, H657-G657-1))</f>
        <v/>
      </c>
      <c r="L657" s="2" t="str">
        <f>IF(J657&lt;&gt;"","",LEN(K657))</f>
        <v/>
      </c>
      <c r="M657" s="2" t="str">
        <f>IF(J657&lt;&gt;"","",MID(F657, H657+1, I657-H657-1))</f>
        <v/>
      </c>
      <c r="N657" s="2" t="str">
        <f>IF(J657&lt;&gt;"","",LEN(M657))</f>
        <v/>
      </c>
      <c r="O657" s="2" t="str">
        <f>IF(J657&lt;&gt;"","",K657*M657)</f>
        <v/>
      </c>
      <c r="R657" s="1" t="str">
        <v>810,426)&lt;!*</v>
      </c>
      <c r="S657" s="1" t="str">
        <v>814,480</v>
      </c>
      <c r="T657" s="1" t="str">
        <v>814</v>
      </c>
      <c r="U657" s="1" t="str">
        <v>480</v>
      </c>
      <c r="V657" s="1">
        <v>390720</v>
      </c>
    </row>
    <row r="658" spans="4:22" x14ac:dyDescent="0.3">
      <c r="D658" s="2">
        <v>655</v>
      </c>
      <c r="E658" s="2">
        <f>SEARCH("mul",$C$4,E657+1)</f>
        <v>16141</v>
      </c>
      <c r="F658" s="2" t="str">
        <f>MID($C$4,E658,$F$1)</f>
        <v>mul(940,128)mul</v>
      </c>
      <c r="G658" s="3">
        <f>SEARCH("(",F658)</f>
        <v>4</v>
      </c>
      <c r="H658" s="3">
        <f>SEARCH(",",F658)</f>
        <v>8</v>
      </c>
      <c r="I658" s="3">
        <f>SEARCH(")",F658)</f>
        <v>12</v>
      </c>
      <c r="J658" s="2" t="str">
        <f>IF(OR(ISERROR(G658),ISERROR(H658),ISERROR(I658)),"CORRUPT!","")</f>
        <v/>
      </c>
      <c r="K658" s="2" t="str">
        <f>IF(J658&lt;&gt;"","",MID(F658, G658+1, H658-G658-1))</f>
        <v>940</v>
      </c>
      <c r="L658" s="2">
        <f>IF(J658&lt;&gt;"","",LEN(K658))</f>
        <v>3</v>
      </c>
      <c r="M658" s="2" t="str">
        <f>IF(J658&lt;&gt;"","",MID(F658, H658+1, I658-H658-1))</f>
        <v>128</v>
      </c>
      <c r="N658" s="2">
        <f>IF(J658&lt;&gt;"","",LEN(M658))</f>
        <v>3</v>
      </c>
      <c r="O658" s="2">
        <f>IF(J658&lt;&gt;"","",K658*M658)</f>
        <v>120320</v>
      </c>
      <c r="R658" s="1" t="str">
        <v>596,769)$ from():]how()</v>
      </c>
      <c r="S658" s="1" t="str">
        <v>315,311</v>
      </c>
      <c r="T658" s="1" t="str">
        <v>315</v>
      </c>
      <c r="U658" s="1" t="str">
        <v>311</v>
      </c>
      <c r="V658" s="1">
        <v>97965</v>
      </c>
    </row>
    <row r="659" spans="4:22" x14ac:dyDescent="0.3">
      <c r="D659" s="2">
        <v>656</v>
      </c>
      <c r="E659" s="2">
        <f>SEARCH("mul",$C$4,E658+1)</f>
        <v>16153</v>
      </c>
      <c r="F659" s="2" t="str">
        <f>MID($C$4,E659,$F$1)</f>
        <v>mul(477,389)who</v>
      </c>
      <c r="G659" s="3">
        <f>SEARCH("(",F659)</f>
        <v>4</v>
      </c>
      <c r="H659" s="3">
        <f>SEARCH(",",F659)</f>
        <v>8</v>
      </c>
      <c r="I659" s="3">
        <f>SEARCH(")",F659)</f>
        <v>12</v>
      </c>
      <c r="J659" s="2" t="str">
        <f>IF(OR(ISERROR(G659),ISERROR(H659),ISERROR(I659)),"CORRUPT!","")</f>
        <v/>
      </c>
      <c r="K659" s="2" t="str">
        <f>IF(J659&lt;&gt;"","",MID(F659, G659+1, H659-G659-1))</f>
        <v>477</v>
      </c>
      <c r="L659" s="2">
        <f>IF(J659&lt;&gt;"","",LEN(K659))</f>
        <v>3</v>
      </c>
      <c r="M659" s="2" t="str">
        <f>IF(J659&lt;&gt;"","",MID(F659, H659+1, I659-H659-1))</f>
        <v>389</v>
      </c>
      <c r="N659" s="2">
        <f>IF(J659&lt;&gt;"","",LEN(M659))</f>
        <v>3</v>
      </c>
      <c r="O659" s="2">
        <f>IF(J659&lt;&gt;"","",K659*M659)</f>
        <v>185553</v>
      </c>
      <c r="R659" s="1" t="str">
        <v xml:space="preserve">67,919)why(485,244)]why(506,511)how()&amp;,[{% </v>
      </c>
      <c r="S659" s="1" t="str">
        <v>571,122</v>
      </c>
      <c r="T659" s="1" t="str">
        <v>571</v>
      </c>
      <c r="U659" s="1" t="str">
        <v>122</v>
      </c>
      <c r="V659" s="1">
        <v>69662</v>
      </c>
    </row>
    <row r="660" spans="4:22" x14ac:dyDescent="0.3">
      <c r="D660" s="2">
        <v>657</v>
      </c>
      <c r="E660" s="2">
        <f>SEARCH("mul",$C$4,E659+1)</f>
        <v>16187</v>
      </c>
      <c r="F660" s="2" t="str">
        <f>MID($C$4,E660,$F$1)</f>
        <v>mul(838,845)&lt;wh</v>
      </c>
      <c r="G660" s="3">
        <f>SEARCH("(",F660)</f>
        <v>4</v>
      </c>
      <c r="H660" s="3">
        <f>SEARCH(",",F660)</f>
        <v>8</v>
      </c>
      <c r="I660" s="3">
        <f>SEARCH(")",F660)</f>
        <v>12</v>
      </c>
      <c r="J660" s="2" t="str">
        <f>IF(OR(ISERROR(G660),ISERROR(H660),ISERROR(I660)),"CORRUPT!","")</f>
        <v/>
      </c>
      <c r="K660" s="2" t="str">
        <f>IF(J660&lt;&gt;"","",MID(F660, G660+1, H660-G660-1))</f>
        <v>838</v>
      </c>
      <c r="L660" s="2">
        <f>IF(J660&lt;&gt;"","",LEN(K660))</f>
        <v>3</v>
      </c>
      <c r="M660" s="2" t="str">
        <f>IF(J660&lt;&gt;"","",MID(F660, H660+1, I660-H660-1))</f>
        <v>845</v>
      </c>
      <c r="N660" s="2">
        <f>IF(J660&lt;&gt;"","",LEN(M660))</f>
        <v>3</v>
      </c>
      <c r="O660" s="2">
        <f>IF(J660&lt;&gt;"","",K660*M660)</f>
        <v>708110</v>
      </c>
      <c r="R660" s="1" t="str">
        <v>794,823)!/]-*&lt;'where()</v>
      </c>
      <c r="S660" s="1" t="str">
        <v>717,593</v>
      </c>
      <c r="T660" s="1" t="str">
        <v>717</v>
      </c>
      <c r="U660" s="1" t="str">
        <v>593</v>
      </c>
      <c r="V660" s="1">
        <v>425181</v>
      </c>
    </row>
    <row r="661" spans="4:22" x14ac:dyDescent="0.3">
      <c r="D661" s="2">
        <v>658</v>
      </c>
      <c r="E661" s="2">
        <f>SEARCH("mul",$C$4,E660+1)</f>
        <v>16209</v>
      </c>
      <c r="F661" s="2" t="str">
        <f>MID($C$4,E661,$F$1)</f>
        <v>mul(248,817)don</v>
      </c>
      <c r="G661" s="3">
        <f>SEARCH("(",F661)</f>
        <v>4</v>
      </c>
      <c r="H661" s="3">
        <f>SEARCH(",",F661)</f>
        <v>8</v>
      </c>
      <c r="I661" s="3">
        <f>SEARCH(")",F661)</f>
        <v>12</v>
      </c>
      <c r="J661" s="2" t="str">
        <f>IF(OR(ISERROR(G661),ISERROR(H661),ISERROR(I661)),"CORRUPT!","")</f>
        <v/>
      </c>
      <c r="K661" s="2" t="str">
        <f>IF(J661&lt;&gt;"","",MID(F661, G661+1, H661-G661-1))</f>
        <v>248</v>
      </c>
      <c r="L661" s="2">
        <f>IF(J661&lt;&gt;"","",LEN(K661))</f>
        <v>3</v>
      </c>
      <c r="M661" s="2" t="str">
        <f>IF(J661&lt;&gt;"","",MID(F661, H661+1, I661-H661-1))</f>
        <v>817</v>
      </c>
      <c r="N661" s="2">
        <f>IF(J661&lt;&gt;"","",LEN(M661))</f>
        <v>3</v>
      </c>
      <c r="O661" s="2">
        <f>IF(J661&lt;&gt;"","",K661*M661)</f>
        <v>202616</v>
      </c>
      <c r="R661" s="1" t="str">
        <v>872~%how()$&lt;}]}why()~how()</v>
      </c>
      <c r="S661" s="1" t="str">
        <v>633,314</v>
      </c>
      <c r="T661" s="1" t="str">
        <v>633</v>
      </c>
      <c r="U661" s="1" t="str">
        <v>314</v>
      </c>
      <c r="V661" s="1">
        <v>198762</v>
      </c>
    </row>
    <row r="662" spans="4:22" x14ac:dyDescent="0.3">
      <c r="D662" s="2">
        <v>659</v>
      </c>
      <c r="E662" s="2">
        <f>SEARCH("mul",$C$4,E661+1)</f>
        <v>16242</v>
      </c>
      <c r="F662" s="2" t="str">
        <f>MID($C$4,E662,$F$1)</f>
        <v>mul(464,153)why</v>
      </c>
      <c r="G662" s="3">
        <f>SEARCH("(",F662)</f>
        <v>4</v>
      </c>
      <c r="H662" s="3">
        <f>SEARCH(",",F662)</f>
        <v>8</v>
      </c>
      <c r="I662" s="3">
        <f>SEARCH(")",F662)</f>
        <v>12</v>
      </c>
      <c r="J662" s="2" t="str">
        <f>IF(OR(ISERROR(G662),ISERROR(H662),ISERROR(I662)),"CORRUPT!","")</f>
        <v/>
      </c>
      <c r="K662" s="2" t="str">
        <f>IF(J662&lt;&gt;"","",MID(F662, G662+1, H662-G662-1))</f>
        <v>464</v>
      </c>
      <c r="L662" s="2">
        <f>IF(J662&lt;&gt;"","",LEN(K662))</f>
        <v>3</v>
      </c>
      <c r="M662" s="2" t="str">
        <f>IF(J662&lt;&gt;"","",MID(F662, H662+1, I662-H662-1))</f>
        <v>153</v>
      </c>
      <c r="N662" s="2">
        <f>IF(J662&lt;&gt;"","",LEN(M662))</f>
        <v>3</v>
      </c>
      <c r="O662" s="2">
        <f>IF(J662&lt;&gt;"","",K662*M662)</f>
        <v>70992</v>
      </c>
      <c r="R662" s="1" t="str">
        <v>413,924)?+[&gt;#who()^@mul,]-'(^^&gt;</v>
      </c>
      <c r="S662" s="1" t="str">
        <v>26,322</v>
      </c>
      <c r="T662" s="1" t="str">
        <v>26</v>
      </c>
      <c r="U662" s="1" t="str">
        <v>322</v>
      </c>
      <c r="V662" s="1">
        <v>8372</v>
      </c>
    </row>
    <row r="663" spans="4:22" x14ac:dyDescent="0.3">
      <c r="D663" s="2">
        <v>660</v>
      </c>
      <c r="E663" s="2">
        <f>SEARCH("mul",$C$4,E662+1)</f>
        <v>16268</v>
      </c>
      <c r="F663" s="2" t="str">
        <f>MID($C$4,E663,$F$1)</f>
        <v>mul(893,554)whe</v>
      </c>
      <c r="G663" s="3">
        <f>SEARCH("(",F663)</f>
        <v>4</v>
      </c>
      <c r="H663" s="3">
        <f>SEARCH(",",F663)</f>
        <v>8</v>
      </c>
      <c r="I663" s="3">
        <f>SEARCH(")",F663)</f>
        <v>12</v>
      </c>
      <c r="J663" s="2" t="str">
        <f>IF(OR(ISERROR(G663),ISERROR(H663),ISERROR(I663)),"CORRUPT!","")</f>
        <v/>
      </c>
      <c r="K663" s="2" t="str">
        <f>IF(J663&lt;&gt;"","",MID(F663, G663+1, H663-G663-1))</f>
        <v>893</v>
      </c>
      <c r="L663" s="2">
        <f>IF(J663&lt;&gt;"","",LEN(K663))</f>
        <v>3</v>
      </c>
      <c r="M663" s="2" t="str">
        <f>IF(J663&lt;&gt;"","",MID(F663, H663+1, I663-H663-1))</f>
        <v>554</v>
      </c>
      <c r="N663" s="2">
        <f>IF(J663&lt;&gt;"","",LEN(M663))</f>
        <v>3</v>
      </c>
      <c r="O663" s="2">
        <f>IF(J663&lt;&gt;"","",K663*M663)</f>
        <v>494722</v>
      </c>
      <c r="R663" s="1" t="str">
        <v xml:space="preserve">30,409),)from() </v>
      </c>
      <c r="S663" s="1" t="str">
        <v>592,551</v>
      </c>
      <c r="T663" s="1" t="str">
        <v>592</v>
      </c>
      <c r="U663" s="1" t="str">
        <v>551</v>
      </c>
      <c r="V663" s="1">
        <v>326192</v>
      </c>
    </row>
    <row r="664" spans="4:22" x14ac:dyDescent="0.3">
      <c r="D664" s="2">
        <v>661</v>
      </c>
      <c r="E664" s="2">
        <f>SEARCH("mul",$C$4,E663+1)</f>
        <v>16304</v>
      </c>
      <c r="F664" s="2" t="str">
        <f>MID($C$4,E664,$F$1)</f>
        <v>mul(505,410)&gt;{/</v>
      </c>
      <c r="G664" s="3">
        <f>SEARCH("(",F664)</f>
        <v>4</v>
      </c>
      <c r="H664" s="3">
        <f>SEARCH(",",F664)</f>
        <v>8</v>
      </c>
      <c r="I664" s="3">
        <f>SEARCH(")",F664)</f>
        <v>12</v>
      </c>
      <c r="J664" s="2" t="str">
        <f>IF(OR(ISERROR(G664),ISERROR(H664),ISERROR(I664)),"CORRUPT!","")</f>
        <v/>
      </c>
      <c r="K664" s="2" t="str">
        <f>IF(J664&lt;&gt;"","",MID(F664, G664+1, H664-G664-1))</f>
        <v>505</v>
      </c>
      <c r="L664" s="2">
        <f>IF(J664&lt;&gt;"","",LEN(K664))</f>
        <v>3</v>
      </c>
      <c r="M664" s="2" t="str">
        <f>IF(J664&lt;&gt;"","",MID(F664, H664+1, I664-H664-1))</f>
        <v>410</v>
      </c>
      <c r="N664" s="2">
        <f>IF(J664&lt;&gt;"","",LEN(M664))</f>
        <v>3</v>
      </c>
      <c r="O664" s="2">
        <f>IF(J664&lt;&gt;"","",K664*M664)</f>
        <v>207050</v>
      </c>
      <c r="R664" s="1" t="str">
        <v>916,685what()how(){#/</v>
      </c>
      <c r="S664" s="1" t="str">
        <v>276,734</v>
      </c>
      <c r="T664" s="1" t="str">
        <v>276</v>
      </c>
      <c r="U664" s="1" t="str">
        <v>734</v>
      </c>
      <c r="V664" s="1">
        <v>202584</v>
      </c>
    </row>
    <row r="665" spans="4:22" x14ac:dyDescent="0.3">
      <c r="D665" s="2">
        <v>662</v>
      </c>
      <c r="E665" s="2">
        <f>SEARCH("mul",$C$4,E664+1)</f>
        <v>16322</v>
      </c>
      <c r="F665" s="2" t="str">
        <f>MID($C$4,E665,$F$1)</f>
        <v>mul(282,701) -!</v>
      </c>
      <c r="G665" s="3">
        <f>SEARCH("(",F665)</f>
        <v>4</v>
      </c>
      <c r="H665" s="3">
        <f>SEARCH(",",F665)</f>
        <v>8</v>
      </c>
      <c r="I665" s="3">
        <f>SEARCH(")",F665)</f>
        <v>12</v>
      </c>
      <c r="J665" s="2" t="str">
        <f>IF(OR(ISERROR(G665),ISERROR(H665),ISERROR(I665)),"CORRUPT!","")</f>
        <v/>
      </c>
      <c r="K665" s="2" t="str">
        <f>IF(J665&lt;&gt;"","",MID(F665, G665+1, H665-G665-1))</f>
        <v>282</v>
      </c>
      <c r="L665" s="2">
        <f>IF(J665&lt;&gt;"","",LEN(K665))</f>
        <v>3</v>
      </c>
      <c r="M665" s="2" t="str">
        <f>IF(J665&lt;&gt;"","",MID(F665, H665+1, I665-H665-1))</f>
        <v>701</v>
      </c>
      <c r="N665" s="2">
        <f>IF(J665&lt;&gt;"","",LEN(M665))</f>
        <v>3</v>
      </c>
      <c r="O665" s="2">
        <f>IF(J665&lt;&gt;"","",K665*M665)</f>
        <v>197682</v>
      </c>
      <c r="R665" s="1" t="str">
        <v>494,862)&lt;who()&gt;-&amp;</v>
      </c>
      <c r="S665" s="1" t="str">
        <v>478,513</v>
      </c>
      <c r="T665" s="1" t="str">
        <v>478</v>
      </c>
      <c r="U665" s="1" t="str">
        <v>513</v>
      </c>
      <c r="V665" s="1">
        <v>245214</v>
      </c>
    </row>
    <row r="666" spans="4:22" x14ac:dyDescent="0.3">
      <c r="D666" s="2">
        <v>663</v>
      </c>
      <c r="E666" s="2">
        <f>SEARCH("mul",$C$4,E665+1)</f>
        <v>16345</v>
      </c>
      <c r="F666" s="2" t="str">
        <f>MID($C$4,E666,$F$1)</f>
        <v>mul(101,631)fro</v>
      </c>
      <c r="G666" s="3">
        <f>SEARCH("(",F666)</f>
        <v>4</v>
      </c>
      <c r="H666" s="3">
        <f>SEARCH(",",F666)</f>
        <v>8</v>
      </c>
      <c r="I666" s="3">
        <f>SEARCH(")",F666)</f>
        <v>12</v>
      </c>
      <c r="J666" s="2" t="str">
        <f>IF(OR(ISERROR(G666),ISERROR(H666),ISERROR(I666)),"CORRUPT!","")</f>
        <v/>
      </c>
      <c r="K666" s="2" t="str">
        <f>IF(J666&lt;&gt;"","",MID(F666, G666+1, H666-G666-1))</f>
        <v>101</v>
      </c>
      <c r="L666" s="2">
        <f>IF(J666&lt;&gt;"","",LEN(K666))</f>
        <v>3</v>
      </c>
      <c r="M666" s="2" t="str">
        <f>IF(J666&lt;&gt;"","",MID(F666, H666+1, I666-H666-1))</f>
        <v>631</v>
      </c>
      <c r="N666" s="2">
        <f>IF(J666&lt;&gt;"","",LEN(M666))</f>
        <v>3</v>
      </c>
      <c r="O666" s="2">
        <f>IF(J666&lt;&gt;"","",K666*M666)</f>
        <v>63731</v>
      </c>
      <c r="R666" s="1" t="str">
        <v>814,480)!&amp;what()*</v>
      </c>
      <c r="S666" s="1" t="str">
        <v>848,726</v>
      </c>
      <c r="T666" s="1" t="str">
        <v>848</v>
      </c>
      <c r="U666" s="1" t="str">
        <v>726</v>
      </c>
      <c r="V666" s="1">
        <v>615648</v>
      </c>
    </row>
    <row r="667" spans="4:22" x14ac:dyDescent="0.3">
      <c r="D667" s="2">
        <v>664</v>
      </c>
      <c r="E667" s="2">
        <f>SEARCH("mul",$C$4,E666+1)</f>
        <v>16372</v>
      </c>
      <c r="F667" s="2" t="str">
        <f>MID($C$4,E667,$F$1)</f>
        <v>mul(187,146)[@+</v>
      </c>
      <c r="G667" s="3">
        <f>SEARCH("(",F667)</f>
        <v>4</v>
      </c>
      <c r="H667" s="3">
        <f>SEARCH(",",F667)</f>
        <v>8</v>
      </c>
      <c r="I667" s="3">
        <f>SEARCH(")",F667)</f>
        <v>12</v>
      </c>
      <c r="J667" s="2" t="str">
        <f>IF(OR(ISERROR(G667),ISERROR(H667),ISERROR(I667)),"CORRUPT!","")</f>
        <v/>
      </c>
      <c r="K667" s="2" t="str">
        <f>IF(J667&lt;&gt;"","",MID(F667, G667+1, H667-G667-1))</f>
        <v>187</v>
      </c>
      <c r="L667" s="2">
        <f>IF(J667&lt;&gt;"","",LEN(K667))</f>
        <v>3</v>
      </c>
      <c r="M667" s="2" t="str">
        <f>IF(J667&lt;&gt;"","",MID(F667, H667+1, I667-H667-1))</f>
        <v>146</v>
      </c>
      <c r="N667" s="2">
        <f>IF(J667&lt;&gt;"","",LEN(M667))</f>
        <v>3</v>
      </c>
      <c r="O667" s="2">
        <f>IF(J667&lt;&gt;"","",K667*M667)</f>
        <v>27302</v>
      </c>
      <c r="R667" s="1" t="str">
        <v>315,311)!when() @}*%#</v>
      </c>
      <c r="S667" s="1" t="str">
        <v>412,173</v>
      </c>
      <c r="T667" s="1" t="str">
        <v>412</v>
      </c>
      <c r="U667" s="1" t="str">
        <v>173</v>
      </c>
      <c r="V667" s="1">
        <v>71276</v>
      </c>
    </row>
    <row r="668" spans="4:22" x14ac:dyDescent="0.3">
      <c r="D668" s="2">
        <v>665</v>
      </c>
      <c r="E668" s="2">
        <f>SEARCH("mul",$C$4,E667+1)</f>
        <v>16394</v>
      </c>
      <c r="F668" s="2" t="str">
        <f>MID($C$4,E668,$F$1)</f>
        <v>mul(424,344);!?</v>
      </c>
      <c r="G668" s="3">
        <f>SEARCH("(",F668)</f>
        <v>4</v>
      </c>
      <c r="H668" s="3">
        <f>SEARCH(",",F668)</f>
        <v>8</v>
      </c>
      <c r="I668" s="3">
        <f>SEARCH(")",F668)</f>
        <v>12</v>
      </c>
      <c r="J668" s="2" t="str">
        <f>IF(OR(ISERROR(G668),ISERROR(H668),ISERROR(I668)),"CORRUPT!","")</f>
        <v/>
      </c>
      <c r="K668" s="2" t="str">
        <f>IF(J668&lt;&gt;"","",MID(F668, G668+1, H668-G668-1))</f>
        <v>424</v>
      </c>
      <c r="L668" s="2">
        <f>IF(J668&lt;&gt;"","",LEN(K668))</f>
        <v>3</v>
      </c>
      <c r="M668" s="2" t="str">
        <f>IF(J668&lt;&gt;"","",MID(F668, H668+1, I668-H668-1))</f>
        <v>344</v>
      </c>
      <c r="N668" s="2">
        <f>IF(J668&lt;&gt;"","",LEN(M668))</f>
        <v>3</v>
      </c>
      <c r="O668" s="2">
        <f>IF(J668&lt;&gt;"","",K668*M668)</f>
        <v>145856</v>
      </c>
      <c r="R668" s="1" t="str">
        <v>571,122)~*</v>
      </c>
      <c r="S668" s="1" t="str">
        <v>306,288</v>
      </c>
      <c r="T668" s="1" t="str">
        <v>306</v>
      </c>
      <c r="U668" s="1" t="str">
        <v>288</v>
      </c>
      <c r="V668" s="1">
        <v>88128</v>
      </c>
    </row>
    <row r="669" spans="4:22" x14ac:dyDescent="0.3">
      <c r="D669" s="2">
        <v>666</v>
      </c>
      <c r="E669" s="2">
        <f>SEARCH("mul",$C$4,E668+1)</f>
        <v>16425</v>
      </c>
      <c r="F669" s="2" t="str">
        <f>MID($C$4,E669,$F$1)</f>
        <v>mul(236,985)why</v>
      </c>
      <c r="G669" s="3">
        <f>SEARCH("(",F669)</f>
        <v>4</v>
      </c>
      <c r="H669" s="3">
        <f>SEARCH(",",F669)</f>
        <v>8</v>
      </c>
      <c r="I669" s="3">
        <f>SEARCH(")",F669)</f>
        <v>12</v>
      </c>
      <c r="J669" s="2" t="str">
        <f>IF(OR(ISERROR(G669),ISERROR(H669),ISERROR(I669)),"CORRUPT!","")</f>
        <v/>
      </c>
      <c r="K669" s="2" t="str">
        <f>IF(J669&lt;&gt;"","",MID(F669, G669+1, H669-G669-1))</f>
        <v>236</v>
      </c>
      <c r="L669" s="2">
        <f>IF(J669&lt;&gt;"","",LEN(K669))</f>
        <v>3</v>
      </c>
      <c r="M669" s="2" t="str">
        <f>IF(J669&lt;&gt;"","",MID(F669, H669+1, I669-H669-1))</f>
        <v>985</v>
      </c>
      <c r="N669" s="2">
        <f>IF(J669&lt;&gt;"","",LEN(M669))</f>
        <v>3</v>
      </c>
      <c r="O669" s="2">
        <f>IF(J669&lt;&gt;"","",K669*M669)</f>
        <v>232460</v>
      </c>
      <c r="R669" s="1" t="str">
        <v>717,593))/</v>
      </c>
      <c r="S669" s="1" t="str">
        <v>571,721</v>
      </c>
      <c r="T669" s="1" t="str">
        <v>571</v>
      </c>
      <c r="U669" s="1" t="str">
        <v>721</v>
      </c>
      <c r="V669" s="1">
        <v>411691</v>
      </c>
    </row>
    <row r="670" spans="4:22" x14ac:dyDescent="0.3">
      <c r="D670" s="2">
        <v>667</v>
      </c>
      <c r="E670" s="2">
        <f>SEARCH("mul",$C$4,E669+1)</f>
        <v>16461</v>
      </c>
      <c r="F670" s="2" t="str">
        <f>MID($C$4,E670,$F$1)</f>
        <v>mul(310,399) :{</v>
      </c>
      <c r="G670" s="3">
        <f>SEARCH("(",F670)</f>
        <v>4</v>
      </c>
      <c r="H670" s="3">
        <f>SEARCH(",",F670)</f>
        <v>8</v>
      </c>
      <c r="I670" s="3">
        <f>SEARCH(")",F670)</f>
        <v>12</v>
      </c>
      <c r="J670" s="2" t="str">
        <f>IF(OR(ISERROR(G670),ISERROR(H670),ISERROR(I670)),"CORRUPT!","")</f>
        <v/>
      </c>
      <c r="K670" s="2" t="str">
        <f>IF(J670&lt;&gt;"","",MID(F670, G670+1, H670-G670-1))</f>
        <v>310</v>
      </c>
      <c r="L670" s="2">
        <f>IF(J670&lt;&gt;"","",LEN(K670))</f>
        <v>3</v>
      </c>
      <c r="M670" s="2" t="str">
        <f>IF(J670&lt;&gt;"","",MID(F670, H670+1, I670-H670-1))</f>
        <v>399</v>
      </c>
      <c r="N670" s="2">
        <f>IF(J670&lt;&gt;"","",LEN(M670))</f>
        <v>3</v>
      </c>
      <c r="O670" s="2">
        <f>IF(J670&lt;&gt;"","",K670*M670)</f>
        <v>123690</v>
      </c>
      <c r="R670" s="1" t="str">
        <v>633,314)&lt;^{[%{when()-&lt;?</v>
      </c>
      <c r="S670" s="1" t="str">
        <v>275,614</v>
      </c>
      <c r="T670" s="1" t="str">
        <v>275</v>
      </c>
      <c r="U670" s="1" t="str">
        <v>614</v>
      </c>
      <c r="V670" s="1">
        <v>168850</v>
      </c>
    </row>
    <row r="671" spans="4:22" x14ac:dyDescent="0.3">
      <c r="D671" s="2">
        <v>668</v>
      </c>
      <c r="E671" s="2">
        <f>SEARCH("mul",$C$4,E670+1)</f>
        <v>16502</v>
      </c>
      <c r="F671" s="2" t="str">
        <f>MID($C$4,E671,$F$1)</f>
        <v>mul(389,902)why</v>
      </c>
      <c r="G671" s="3">
        <f>SEARCH("(",F671)</f>
        <v>4</v>
      </c>
      <c r="H671" s="3">
        <f>SEARCH(",",F671)</f>
        <v>8</v>
      </c>
      <c r="I671" s="3">
        <f>SEARCH(")",F671)</f>
        <v>12</v>
      </c>
      <c r="J671" s="2" t="str">
        <f>IF(OR(ISERROR(G671),ISERROR(H671),ISERROR(I671)),"CORRUPT!","")</f>
        <v/>
      </c>
      <c r="K671" s="2" t="str">
        <f>IF(J671&lt;&gt;"","",MID(F671, G671+1, H671-G671-1))</f>
        <v>389</v>
      </c>
      <c r="L671" s="2">
        <f>IF(J671&lt;&gt;"","",LEN(K671))</f>
        <v>3</v>
      </c>
      <c r="M671" s="2" t="str">
        <f>IF(J671&lt;&gt;"","",MID(F671, H671+1, I671-H671-1))</f>
        <v>902</v>
      </c>
      <c r="N671" s="2">
        <f>IF(J671&lt;&gt;"","",LEN(M671))</f>
        <v>3</v>
      </c>
      <c r="O671" s="2">
        <f>IF(J671&lt;&gt;"","",K671*M671)</f>
        <v>350878</v>
      </c>
      <c r="R671" s="1" t="str">
        <v>26,322)</v>
      </c>
      <c r="S671" s="1" t="str">
        <v>611,515</v>
      </c>
      <c r="T671" s="1" t="str">
        <v>611</v>
      </c>
      <c r="U671" s="1" t="str">
        <v>515</v>
      </c>
      <c r="V671" s="1">
        <v>314665</v>
      </c>
    </row>
    <row r="672" spans="4:22" x14ac:dyDescent="0.3">
      <c r="D672" s="2">
        <v>669</v>
      </c>
      <c r="E672" s="2">
        <f>SEARCH("mul",$C$4,E671+1)</f>
        <v>16543</v>
      </c>
      <c r="F672" s="2" t="str">
        <f>MID($C$4,E672,$F$1)</f>
        <v>mul(265,840)/mu</v>
      </c>
      <c r="G672" s="3">
        <f>SEARCH("(",F672)</f>
        <v>4</v>
      </c>
      <c r="H672" s="3">
        <f>SEARCH(",",F672)</f>
        <v>8</v>
      </c>
      <c r="I672" s="3">
        <f>SEARCH(")",F672)</f>
        <v>12</v>
      </c>
      <c r="J672" s="2" t="str">
        <f>IF(OR(ISERROR(G672),ISERROR(H672),ISERROR(I672)),"CORRUPT!","")</f>
        <v/>
      </c>
      <c r="K672" s="2" t="str">
        <f>IF(J672&lt;&gt;"","",MID(F672, G672+1, H672-G672-1))</f>
        <v>265</v>
      </c>
      <c r="L672" s="2">
        <f>IF(J672&lt;&gt;"","",LEN(K672))</f>
        <v>3</v>
      </c>
      <c r="M672" s="2" t="str">
        <f>IF(J672&lt;&gt;"","",MID(F672, H672+1, I672-H672-1))</f>
        <v>840</v>
      </c>
      <c r="N672" s="2">
        <f>IF(J672&lt;&gt;"","",LEN(M672))</f>
        <v>3</v>
      </c>
      <c r="O672" s="2">
        <f>IF(J672&lt;&gt;"","",K672*M672)</f>
        <v>222600</v>
      </c>
      <c r="R672" s="1" t="str">
        <v>792;(?:^</v>
      </c>
      <c r="S672" s="1" t="str">
        <v>741,23</v>
      </c>
      <c r="T672" s="1" t="str">
        <v>741</v>
      </c>
      <c r="U672" s="1" t="str">
        <v>23</v>
      </c>
      <c r="V672" s="1">
        <v>17043</v>
      </c>
    </row>
    <row r="673" spans="4:22" x14ac:dyDescent="0.3">
      <c r="D673" s="2">
        <v>670</v>
      </c>
      <c r="E673" s="2">
        <f>SEARCH("mul",$C$4,E672+1)</f>
        <v>16556</v>
      </c>
      <c r="F673" s="2" t="str">
        <f>MID($C$4,E673,$F$1)</f>
        <v>mul(652,469)~wh</v>
      </c>
      <c r="G673" s="3">
        <f>SEARCH("(",F673)</f>
        <v>4</v>
      </c>
      <c r="H673" s="3">
        <f>SEARCH(",",F673)</f>
        <v>8</v>
      </c>
      <c r="I673" s="3">
        <f>SEARCH(")",F673)</f>
        <v>12</v>
      </c>
      <c r="J673" s="2" t="str">
        <f>IF(OR(ISERROR(G673),ISERROR(H673),ISERROR(I673)),"CORRUPT!","")</f>
        <v/>
      </c>
      <c r="K673" s="2" t="str">
        <f>IF(J673&lt;&gt;"","",MID(F673, G673+1, H673-G673-1))</f>
        <v>652</v>
      </c>
      <c r="L673" s="2">
        <f>IF(J673&lt;&gt;"","",LEN(K673))</f>
        <v>3</v>
      </c>
      <c r="M673" s="2" t="str">
        <f>IF(J673&lt;&gt;"","",MID(F673, H673+1, I673-H673-1))</f>
        <v>469</v>
      </c>
      <c r="N673" s="2">
        <f>IF(J673&lt;&gt;"","",LEN(M673))</f>
        <v>3</v>
      </c>
      <c r="O673" s="2">
        <f>IF(J673&lt;&gt;"","",K673*M673)</f>
        <v>305788</v>
      </c>
      <c r="R673" s="1" t="str">
        <v>592,551)&amp;from();%]who()&lt;,$</v>
      </c>
      <c r="S673" s="1" t="str">
        <v>144,95,why(</v>
      </c>
      <c r="T673" s="1" t="str">
        <v>144</v>
      </c>
      <c r="U673" s="1" t="str">
        <v>95,why(</v>
      </c>
      <c r="V673" s="1">
        <v>0</v>
      </c>
    </row>
    <row r="674" spans="4:22" x14ac:dyDescent="0.3">
      <c r="D674" s="2">
        <v>671</v>
      </c>
      <c r="E674" s="2">
        <f>SEARCH("mul",$C$4,E673+1)</f>
        <v>16586</v>
      </c>
      <c r="F674" s="2" t="str">
        <f>MID($C$4,E674,$F$1)</f>
        <v xml:space="preserve">mul(792,402);&gt; </v>
      </c>
      <c r="G674" s="3">
        <f>SEARCH("(",F674)</f>
        <v>4</v>
      </c>
      <c r="H674" s="3">
        <f>SEARCH(",",F674)</f>
        <v>8</v>
      </c>
      <c r="I674" s="3">
        <f>SEARCH(")",F674)</f>
        <v>12</v>
      </c>
      <c r="J674" s="2" t="str">
        <f>IF(OR(ISERROR(G674),ISERROR(H674),ISERROR(I674)),"CORRUPT!","")</f>
        <v/>
      </c>
      <c r="K674" s="2" t="str">
        <f>IF(J674&lt;&gt;"","",MID(F674, G674+1, H674-G674-1))</f>
        <v>792</v>
      </c>
      <c r="L674" s="2">
        <f>IF(J674&lt;&gt;"","",LEN(K674))</f>
        <v>3</v>
      </c>
      <c r="M674" s="2" t="str">
        <f>IF(J674&lt;&gt;"","",MID(F674, H674+1, I674-H674-1))</f>
        <v>402</v>
      </c>
      <c r="N674" s="2">
        <f>IF(J674&lt;&gt;"","",LEN(M674))</f>
        <v>3</v>
      </c>
      <c r="O674" s="2">
        <f>IF(J674&lt;&gt;"","",K674*M674)</f>
        <v>318384</v>
      </c>
      <c r="R674" s="1" t="str">
        <v>276,734):</v>
      </c>
      <c r="S674" s="1" t="str">
        <v>380,549</v>
      </c>
      <c r="T674" s="1" t="str">
        <v>380</v>
      </c>
      <c r="U674" s="1" t="str">
        <v>549</v>
      </c>
      <c r="V674" s="1">
        <v>208620</v>
      </c>
    </row>
    <row r="675" spans="4:22" x14ac:dyDescent="0.3">
      <c r="D675" s="2">
        <v>672</v>
      </c>
      <c r="E675" s="2">
        <f>SEARCH("mul",$C$4,E674+1)</f>
        <v>16620</v>
      </c>
      <c r="F675" s="2" t="str">
        <f>MID($C$4,E675,$F$1)</f>
        <v>mul(720,836)%wh</v>
      </c>
      <c r="G675" s="3">
        <f>SEARCH("(",F675)</f>
        <v>4</v>
      </c>
      <c r="H675" s="3">
        <f>SEARCH(",",F675)</f>
        <v>8</v>
      </c>
      <c r="I675" s="3">
        <f>SEARCH(")",F675)</f>
        <v>12</v>
      </c>
      <c r="J675" s="2" t="str">
        <f>IF(OR(ISERROR(G675),ISERROR(H675),ISERROR(I675)),"CORRUPT!","")</f>
        <v/>
      </c>
      <c r="K675" s="2" t="str">
        <f>IF(J675&lt;&gt;"","",MID(F675, G675+1, H675-G675-1))</f>
        <v>720</v>
      </c>
      <c r="L675" s="2">
        <f>IF(J675&lt;&gt;"","",LEN(K675))</f>
        <v>3</v>
      </c>
      <c r="M675" s="2" t="str">
        <f>IF(J675&lt;&gt;"","",MID(F675, H675+1, I675-H675-1))</f>
        <v>836</v>
      </c>
      <c r="N675" s="2">
        <f>IF(J675&lt;&gt;"","",LEN(M675))</f>
        <v>3</v>
      </c>
      <c r="O675" s="2">
        <f>IF(J675&lt;&gt;"","",K675*M675)</f>
        <v>601920</v>
      </c>
      <c r="R675" s="1" t="str">
        <v>478,513)]when(637,697){mul&amp; @+'[+</v>
      </c>
      <c r="S675" s="1" t="str">
        <v>19,964</v>
      </c>
      <c r="T675" s="1" t="str">
        <v>19</v>
      </c>
      <c r="U675" s="1" t="str">
        <v>964</v>
      </c>
      <c r="V675" s="1">
        <v>18316</v>
      </c>
    </row>
    <row r="676" spans="4:22" x14ac:dyDescent="0.3">
      <c r="D676" s="2">
        <v>673</v>
      </c>
      <c r="E676" s="2">
        <f>SEARCH("mul",$C$4,E675+1)</f>
        <v>16660</v>
      </c>
      <c r="F676" s="2" t="str">
        <f>MID($C$4,E676,$F$1)</f>
        <v>mul(757,143)-)%</v>
      </c>
      <c r="G676" s="3">
        <f>SEARCH("(",F676)</f>
        <v>4</v>
      </c>
      <c r="H676" s="3">
        <f>SEARCH(",",F676)</f>
        <v>8</v>
      </c>
      <c r="I676" s="3">
        <f>SEARCH(")",F676)</f>
        <v>12</v>
      </c>
      <c r="J676" s="2" t="str">
        <f>IF(OR(ISERROR(G676),ISERROR(H676),ISERROR(I676)),"CORRUPT!","")</f>
        <v/>
      </c>
      <c r="K676" s="2" t="str">
        <f>IF(J676&lt;&gt;"","",MID(F676, G676+1, H676-G676-1))</f>
        <v>757</v>
      </c>
      <c r="L676" s="2">
        <f>IF(J676&lt;&gt;"","",LEN(K676))</f>
        <v>3</v>
      </c>
      <c r="M676" s="2" t="str">
        <f>IF(J676&lt;&gt;"","",MID(F676, H676+1, I676-H676-1))</f>
        <v>143</v>
      </c>
      <c r="N676" s="2">
        <f>IF(J676&lt;&gt;"","",LEN(M676))</f>
        <v>3</v>
      </c>
      <c r="O676" s="2">
        <f>IF(J676&lt;&gt;"","",K676*M676)</f>
        <v>108251</v>
      </c>
      <c r="R676" s="1" t="str">
        <v>848,726)how(),from()-!&amp;,&lt;#do() !-</v>
      </c>
      <c r="S676" s="1" t="str">
        <v>194,612</v>
      </c>
      <c r="T676" s="1" t="str">
        <v>194</v>
      </c>
      <c r="U676" s="1" t="str">
        <v>612</v>
      </c>
      <c r="V676" s="1">
        <v>118728</v>
      </c>
    </row>
    <row r="677" spans="4:22" x14ac:dyDescent="0.3">
      <c r="D677" s="2">
        <v>674</v>
      </c>
      <c r="E677" s="2">
        <f>SEARCH("mul",$C$4,E676+1)</f>
        <v>16691</v>
      </c>
      <c r="F677" s="2" t="str">
        <f>MID($C$4,E677,$F$1)</f>
        <v>mul(810,426)&lt;!*</v>
      </c>
      <c r="G677" s="3">
        <f>SEARCH("(",F677)</f>
        <v>4</v>
      </c>
      <c r="H677" s="3">
        <f>SEARCH(",",F677)</f>
        <v>8</v>
      </c>
      <c r="I677" s="3">
        <f>SEARCH(")",F677)</f>
        <v>12</v>
      </c>
      <c r="J677" s="2" t="str">
        <f>IF(OR(ISERROR(G677),ISERROR(H677),ISERROR(I677)),"CORRUPT!","")</f>
        <v/>
      </c>
      <c r="K677" s="2" t="str">
        <f>IF(J677&lt;&gt;"","",MID(F677, G677+1, H677-G677-1))</f>
        <v>810</v>
      </c>
      <c r="L677" s="2">
        <f>IF(J677&lt;&gt;"","",LEN(K677))</f>
        <v>3</v>
      </c>
      <c r="M677" s="2" t="str">
        <f>IF(J677&lt;&gt;"","",MID(F677, H677+1, I677-H677-1))</f>
        <v>426</v>
      </c>
      <c r="N677" s="2">
        <f>IF(J677&lt;&gt;"","",LEN(M677))</f>
        <v>3</v>
      </c>
      <c r="O677" s="2">
        <f>IF(J677&lt;&gt;"","",K677*M677)</f>
        <v>345060</v>
      </c>
      <c r="R677" s="1" t="str">
        <v>412,173)?''when()select()select();'when()</v>
      </c>
      <c r="S677" s="1" t="str">
        <v>491,112</v>
      </c>
      <c r="T677" s="1" t="str">
        <v>491</v>
      </c>
      <c r="U677" s="1" t="str">
        <v>112</v>
      </c>
      <c r="V677" s="1">
        <v>54992</v>
      </c>
    </row>
    <row r="678" spans="4:22" x14ac:dyDescent="0.3">
      <c r="D678" s="2">
        <v>675</v>
      </c>
      <c r="E678" s="2">
        <f>SEARCH("mul",$C$4,E677+1)</f>
        <v>16706</v>
      </c>
      <c r="F678" s="2" t="str">
        <f>MID($C$4,E678,$F$1)</f>
        <v>mul(596,769)$ f</v>
      </c>
      <c r="G678" s="3">
        <f>SEARCH("(",F678)</f>
        <v>4</v>
      </c>
      <c r="H678" s="3">
        <f>SEARCH(",",F678)</f>
        <v>8</v>
      </c>
      <c r="I678" s="3">
        <f>SEARCH(")",F678)</f>
        <v>12</v>
      </c>
      <c r="J678" s="2" t="str">
        <f>IF(OR(ISERROR(G678),ISERROR(H678),ISERROR(I678)),"CORRUPT!","")</f>
        <v/>
      </c>
      <c r="K678" s="2" t="str">
        <f>IF(J678&lt;&gt;"","",MID(F678, G678+1, H678-G678-1))</f>
        <v>596</v>
      </c>
      <c r="L678" s="2">
        <f>IF(J678&lt;&gt;"","",LEN(K678))</f>
        <v>3</v>
      </c>
      <c r="M678" s="2" t="str">
        <f>IF(J678&lt;&gt;"","",MID(F678, H678+1, I678-H678-1))</f>
        <v>769</v>
      </c>
      <c r="N678" s="2">
        <f>IF(J678&lt;&gt;"","",LEN(M678))</f>
        <v>3</v>
      </c>
      <c r="O678" s="2">
        <f>IF(J678&lt;&gt;"","",K678*M678)</f>
        <v>458324</v>
      </c>
      <c r="R678" s="1" t="str">
        <v>306,288)(!when()how(100,872)&gt;,{</v>
      </c>
      <c r="S678" s="1" t="str">
        <v>239,5</v>
      </c>
      <c r="T678" s="1" t="str">
        <v>239</v>
      </c>
      <c r="U678" s="1" t="str">
        <v>5</v>
      </c>
      <c r="V678" s="1">
        <v>1195</v>
      </c>
    </row>
    <row r="679" spans="4:22" x14ac:dyDescent="0.3">
      <c r="D679" s="2">
        <v>676</v>
      </c>
      <c r="E679" s="2">
        <f>SEARCH("mul",$C$4,E678+1)</f>
        <v>16733</v>
      </c>
      <c r="F679" s="2" t="str">
        <f>MID($C$4,E679,$F$1)</f>
        <v>mul(67,919)why(</v>
      </c>
      <c r="G679" s="3">
        <f>SEARCH("(",F679)</f>
        <v>4</v>
      </c>
      <c r="H679" s="3">
        <f>SEARCH(",",F679)</f>
        <v>7</v>
      </c>
      <c r="I679" s="3">
        <f>SEARCH(")",F679)</f>
        <v>11</v>
      </c>
      <c r="J679" s="2" t="str">
        <f>IF(OR(ISERROR(G679),ISERROR(H679),ISERROR(I679)),"CORRUPT!","")</f>
        <v/>
      </c>
      <c r="K679" s="2" t="str">
        <f>IF(J679&lt;&gt;"","",MID(F679, G679+1, H679-G679-1))</f>
        <v>67</v>
      </c>
      <c r="L679" s="2">
        <f>IF(J679&lt;&gt;"","",LEN(K679))</f>
        <v>2</v>
      </c>
      <c r="M679" s="2" t="str">
        <f>IF(J679&lt;&gt;"","",MID(F679, H679+1, I679-H679-1))</f>
        <v>919</v>
      </c>
      <c r="N679" s="2">
        <f>IF(J679&lt;&gt;"","",LEN(M679))</f>
        <v>3</v>
      </c>
      <c r="O679" s="2">
        <f>IF(J679&lt;&gt;"","",K679*M679)</f>
        <v>61573</v>
      </c>
      <c r="R679" s="1" t="str">
        <v>571,721):?,@~]select(){</v>
      </c>
      <c r="S679" s="1" t="str">
        <v>965,299</v>
      </c>
      <c r="T679" s="1" t="str">
        <v>965</v>
      </c>
      <c r="U679" s="1" t="str">
        <v>299</v>
      </c>
      <c r="V679" s="1">
        <v>288535</v>
      </c>
    </row>
    <row r="680" spans="4:22" x14ac:dyDescent="0.3">
      <c r="D680" s="2">
        <v>677</v>
      </c>
      <c r="E680" s="2">
        <f>SEARCH("mul",$C$4,E679+1)</f>
        <v>16780</v>
      </c>
      <c r="F680" s="2" t="str">
        <f>MID($C$4,E680,$F$1)</f>
        <v>mul(794,823)!/]</v>
      </c>
      <c r="G680" s="3">
        <f>SEARCH("(",F680)</f>
        <v>4</v>
      </c>
      <c r="H680" s="3">
        <f>SEARCH(",",F680)</f>
        <v>8</v>
      </c>
      <c r="I680" s="3">
        <f>SEARCH(")",F680)</f>
        <v>12</v>
      </c>
      <c r="J680" s="2" t="str">
        <f>IF(OR(ISERROR(G680),ISERROR(H680),ISERROR(I680)),"CORRUPT!","")</f>
        <v/>
      </c>
      <c r="K680" s="2" t="str">
        <f>IF(J680&lt;&gt;"","",MID(F680, G680+1, H680-G680-1))</f>
        <v>794</v>
      </c>
      <c r="L680" s="2">
        <f>IF(J680&lt;&gt;"","",LEN(K680))</f>
        <v>3</v>
      </c>
      <c r="M680" s="2" t="str">
        <f>IF(J680&lt;&gt;"","",MID(F680, H680+1, I680-H680-1))</f>
        <v>823</v>
      </c>
      <c r="N680" s="2">
        <f>IF(J680&lt;&gt;"","",LEN(M680))</f>
        <v>3</v>
      </c>
      <c r="O680" s="2">
        <f>IF(J680&lt;&gt;"","",K680*M680)</f>
        <v>653462</v>
      </c>
      <c r="R680" s="1" t="str">
        <v>275,614),select()/&lt;</v>
      </c>
      <c r="S680" s="1" t="str">
        <v>642,519</v>
      </c>
      <c r="T680" s="1" t="str">
        <v>642</v>
      </c>
      <c r="U680" s="1" t="str">
        <v>519</v>
      </c>
      <c r="V680" s="1">
        <v>333198</v>
      </c>
    </row>
    <row r="681" spans="4:22" x14ac:dyDescent="0.3">
      <c r="D681" s="2">
        <v>678</v>
      </c>
      <c r="E681" s="2">
        <f>SEARCH("mul",$C$4,E680+1)</f>
        <v>16806</v>
      </c>
      <c r="F681" s="2" t="str">
        <f>MID($C$4,E681,$F$1)</f>
        <v>mul(872~%how()$</v>
      </c>
      <c r="G681" s="3">
        <f>SEARCH("(",F681)</f>
        <v>4</v>
      </c>
      <c r="H681" s="3" t="e">
        <f>SEARCH(",",F681)</f>
        <v>#VALUE!</v>
      </c>
      <c r="I681" s="3">
        <f>SEARCH(")",F681)</f>
        <v>14</v>
      </c>
      <c r="J681" s="2" t="str">
        <f>IF(OR(ISERROR(G681),ISERROR(H681),ISERROR(I681)),"CORRUPT!","")</f>
        <v>CORRUPT!</v>
      </c>
      <c r="K681" s="2" t="str">
        <f>IF(J681&lt;&gt;"","",MID(F681, G681+1, H681-G681-1))</f>
        <v/>
      </c>
      <c r="L681" s="2" t="str">
        <f>IF(J681&lt;&gt;"","",LEN(K681))</f>
        <v/>
      </c>
      <c r="M681" s="2" t="str">
        <f>IF(J681&lt;&gt;"","",MID(F681, H681+1, I681-H681-1))</f>
        <v/>
      </c>
      <c r="N681" s="2" t="str">
        <f>IF(J681&lt;&gt;"","",LEN(M681))</f>
        <v/>
      </c>
      <c r="O681" s="2" t="str">
        <f>IF(J681&lt;&gt;"","",K681*M681)</f>
        <v/>
      </c>
      <c r="R681" s="1" t="str">
        <v>611,515)how(635,963)select()</v>
      </c>
      <c r="S681" s="1" t="str">
        <v>830,103</v>
      </c>
      <c r="T681" s="1" t="str">
        <v>830</v>
      </c>
      <c r="U681" s="1" t="str">
        <v>103</v>
      </c>
      <c r="V681" s="1">
        <v>85490</v>
      </c>
    </row>
    <row r="682" spans="4:22" x14ac:dyDescent="0.3">
      <c r="D682" s="2">
        <v>679</v>
      </c>
      <c r="E682" s="2">
        <f>SEARCH("mul",$C$4,E681+1)</f>
        <v>16836</v>
      </c>
      <c r="F682" s="2" t="str">
        <f>MID($C$4,E682,$F$1)</f>
        <v>mul(413,924)?+[</v>
      </c>
      <c r="G682" s="3">
        <f>SEARCH("(",F682)</f>
        <v>4</v>
      </c>
      <c r="H682" s="3">
        <f>SEARCH(",",F682)</f>
        <v>8</v>
      </c>
      <c r="I682" s="3">
        <f>SEARCH(")",F682)</f>
        <v>12</v>
      </c>
      <c r="J682" s="2" t="str">
        <f>IF(OR(ISERROR(G682),ISERROR(H682),ISERROR(I682)),"CORRUPT!","")</f>
        <v/>
      </c>
      <c r="K682" s="2" t="str">
        <f>IF(J682&lt;&gt;"","",MID(F682, G682+1, H682-G682-1))</f>
        <v>413</v>
      </c>
      <c r="L682" s="2">
        <f>IF(J682&lt;&gt;"","",LEN(K682))</f>
        <v>3</v>
      </c>
      <c r="M682" s="2" t="str">
        <f>IF(J682&lt;&gt;"","",MID(F682, H682+1, I682-H682-1))</f>
        <v>924</v>
      </c>
      <c r="N682" s="2">
        <f>IF(J682&lt;&gt;"","",LEN(M682))</f>
        <v>3</v>
      </c>
      <c r="O682" s="2">
        <f>IF(J682&lt;&gt;"","",K682*M682)</f>
        <v>381612</v>
      </c>
      <c r="R682" s="1" t="str">
        <v>741,23),select()why()^who(),%#}</v>
      </c>
      <c r="S682" s="1" t="str">
        <v>61,609</v>
      </c>
      <c r="T682" s="1" t="str">
        <v>61</v>
      </c>
      <c r="U682" s="1" t="str">
        <v>609</v>
      </c>
      <c r="V682" s="1">
        <v>37149</v>
      </c>
    </row>
    <row r="683" spans="4:22" x14ac:dyDescent="0.3">
      <c r="D683" s="2">
        <v>680</v>
      </c>
      <c r="E683" s="2">
        <f>SEARCH("mul",$C$4,E682+1)</f>
        <v>16860</v>
      </c>
      <c r="F683" s="2" t="str">
        <f>MID($C$4,E683,$F$1)</f>
        <v>mul,]-'(^^&gt;mul(</v>
      </c>
      <c r="G683" s="3">
        <f>SEARCH("(",F683)</f>
        <v>8</v>
      </c>
      <c r="H683" s="3">
        <f>SEARCH(",",F683)</f>
        <v>4</v>
      </c>
      <c r="I683" s="3" t="e">
        <f>SEARCH(")",F683)</f>
        <v>#VALUE!</v>
      </c>
      <c r="J683" s="2" t="str">
        <f>IF(OR(ISERROR(G683),ISERROR(H683),ISERROR(I683)),"CORRUPT!","")</f>
        <v>CORRUPT!</v>
      </c>
      <c r="K683" s="2" t="str">
        <f>IF(J683&lt;&gt;"","",MID(F683, G683+1, H683-G683-1))</f>
        <v/>
      </c>
      <c r="L683" s="2" t="str">
        <f>IF(J683&lt;&gt;"","",LEN(K683))</f>
        <v/>
      </c>
      <c r="M683" s="2" t="str">
        <f>IF(J683&lt;&gt;"","",MID(F683, H683+1, I683-H683-1))</f>
        <v/>
      </c>
      <c r="N683" s="2" t="str">
        <f>IF(J683&lt;&gt;"","",LEN(M683))</f>
        <v/>
      </c>
      <c r="O683" s="2" t="str">
        <f>IF(J683&lt;&gt;"","",K683*M683)</f>
        <v/>
      </c>
      <c r="R683" s="1" t="str">
        <v>144,95,why()why()~@^when(555,987)(</v>
      </c>
      <c r="S683" s="1" t="str">
        <v>808,331</v>
      </c>
      <c r="T683" s="1" t="str">
        <v>808</v>
      </c>
      <c r="U683" s="1" t="str">
        <v>331</v>
      </c>
      <c r="V683" s="1">
        <v>267448</v>
      </c>
    </row>
    <row r="684" spans="4:22" x14ac:dyDescent="0.3">
      <c r="D684" s="2">
        <v>681</v>
      </c>
      <c r="E684" s="2">
        <f>SEARCH("mul",$C$4,E683+1)</f>
        <v>16871</v>
      </c>
      <c r="F684" s="2" t="str">
        <f>MID($C$4,E684,$F$1)</f>
        <v>mul(30,409),)fr</v>
      </c>
      <c r="G684" s="3">
        <f>SEARCH("(",F684)</f>
        <v>4</v>
      </c>
      <c r="H684" s="3">
        <f>SEARCH(",",F684)</f>
        <v>7</v>
      </c>
      <c r="I684" s="3">
        <f>SEARCH(")",F684)</f>
        <v>11</v>
      </c>
      <c r="J684" s="2" t="str">
        <f>IF(OR(ISERROR(G684),ISERROR(H684),ISERROR(I684)),"CORRUPT!","")</f>
        <v/>
      </c>
      <c r="K684" s="2" t="str">
        <f>IF(J684&lt;&gt;"","",MID(F684, G684+1, H684-G684-1))</f>
        <v>30</v>
      </c>
      <c r="L684" s="2">
        <f>IF(J684&lt;&gt;"","",LEN(K684))</f>
        <v>2</v>
      </c>
      <c r="M684" s="2" t="str">
        <f>IF(J684&lt;&gt;"","",MID(F684, H684+1, I684-H684-1))</f>
        <v>409</v>
      </c>
      <c r="N684" s="2">
        <f>IF(J684&lt;&gt;"","",LEN(M684))</f>
        <v>3</v>
      </c>
      <c r="O684" s="2">
        <f>IF(J684&lt;&gt;"","",K684*M684)</f>
        <v>12270</v>
      </c>
      <c r="R684" s="1" t="str">
        <v>380,549)%:%&amp;how()&amp;</v>
      </c>
      <c r="S684" s="1" t="str">
        <v>885,259</v>
      </c>
      <c r="T684" s="1" t="str">
        <v>885</v>
      </c>
      <c r="U684" s="1" t="str">
        <v>259</v>
      </c>
      <c r="V684" s="1">
        <v>229215</v>
      </c>
    </row>
    <row r="685" spans="4:22" x14ac:dyDescent="0.3">
      <c r="D685" s="2">
        <v>682</v>
      </c>
      <c r="E685" s="2">
        <f>SEARCH("mul",$C$4,E684+1)</f>
        <v>16891</v>
      </c>
      <c r="F685" s="2" t="str">
        <f>MID($C$4,E685,$F$1)</f>
        <v>mul(916,685what</v>
      </c>
      <c r="G685" s="3">
        <f>SEARCH("(",F685)</f>
        <v>4</v>
      </c>
      <c r="H685" s="3">
        <f>SEARCH(",",F685)</f>
        <v>8</v>
      </c>
      <c r="I685" s="3" t="e">
        <f>SEARCH(")",F685)</f>
        <v>#VALUE!</v>
      </c>
      <c r="J685" s="2" t="str">
        <f>IF(OR(ISERROR(G685),ISERROR(H685),ISERROR(I685)),"CORRUPT!","")</f>
        <v>CORRUPT!</v>
      </c>
      <c r="K685" s="2" t="str">
        <f>IF(J685&lt;&gt;"","",MID(F685, G685+1, H685-G685-1))</f>
        <v/>
      </c>
      <c r="L685" s="2" t="str">
        <f>IF(J685&lt;&gt;"","",LEN(K685))</f>
        <v/>
      </c>
      <c r="M685" s="2" t="str">
        <f>IF(J685&lt;&gt;"","",MID(F685, H685+1, I685-H685-1))</f>
        <v/>
      </c>
      <c r="N685" s="2" t="str">
        <f>IF(J685&lt;&gt;"","",LEN(M685))</f>
        <v/>
      </c>
      <c r="O685" s="2" t="str">
        <f>IF(J685&lt;&gt;"","",K685*M685)</f>
        <v/>
      </c>
      <c r="R685" s="1" t="str">
        <v>19,964)where(),*why()#%</v>
      </c>
      <c r="S685" s="1" t="str">
        <v>902,561</v>
      </c>
      <c r="T685" s="1" t="str">
        <v>902</v>
      </c>
      <c r="U685" s="1" t="str">
        <v>561</v>
      </c>
      <c r="V685" s="1">
        <v>506022</v>
      </c>
    </row>
    <row r="686" spans="4:22" x14ac:dyDescent="0.3">
      <c r="D686" s="2">
        <v>683</v>
      </c>
      <c r="E686" s="2">
        <f>SEARCH("mul",$C$4,E685+1)</f>
        <v>16916</v>
      </c>
      <c r="F686" s="2" t="str">
        <f>MID($C$4,E686,$F$1)</f>
        <v>mul(494,862)&lt;wh</v>
      </c>
      <c r="G686" s="3">
        <f>SEARCH("(",F686)</f>
        <v>4</v>
      </c>
      <c r="H686" s="3">
        <f>SEARCH(",",F686)</f>
        <v>8</v>
      </c>
      <c r="I686" s="3">
        <f>SEARCH(")",F686)</f>
        <v>12</v>
      </c>
      <c r="J686" s="2" t="str">
        <f>IF(OR(ISERROR(G686),ISERROR(H686),ISERROR(I686)),"CORRUPT!","")</f>
        <v/>
      </c>
      <c r="K686" s="2" t="str">
        <f>IF(J686&lt;&gt;"","",MID(F686, G686+1, H686-G686-1))</f>
        <v>494</v>
      </c>
      <c r="L686" s="2">
        <f>IF(J686&lt;&gt;"","",LEN(K686))</f>
        <v>3</v>
      </c>
      <c r="M686" s="2" t="str">
        <f>IF(J686&lt;&gt;"","",MID(F686, H686+1, I686-H686-1))</f>
        <v>862</v>
      </c>
      <c r="N686" s="2">
        <f>IF(J686&lt;&gt;"","",LEN(M686))</f>
        <v>3</v>
      </c>
      <c r="O686" s="2">
        <f>IF(J686&lt;&gt;"","",K686*M686)</f>
        <v>425828</v>
      </c>
      <c r="R686" s="1" t="str">
        <v>194,612)}+^when()[</v>
      </c>
      <c r="S686" s="1" t="str">
        <v>320,613</v>
      </c>
      <c r="T686" s="1" t="str">
        <v>320</v>
      </c>
      <c r="U686" s="1" t="str">
        <v>613</v>
      </c>
      <c r="V686" s="1">
        <v>196160</v>
      </c>
    </row>
    <row r="687" spans="4:22" x14ac:dyDescent="0.3">
      <c r="D687" s="2">
        <v>684</v>
      </c>
      <c r="E687" s="2">
        <f>SEARCH("mul",$C$4,E686+1)</f>
        <v>16937</v>
      </c>
      <c r="F687" s="2" t="str">
        <f>MID($C$4,E687,$F$1)</f>
        <v>mul(814,480)!&amp;w</v>
      </c>
      <c r="G687" s="3">
        <f>SEARCH("(",F687)</f>
        <v>4</v>
      </c>
      <c r="H687" s="3">
        <f>SEARCH(",",F687)</f>
        <v>8</v>
      </c>
      <c r="I687" s="3">
        <f>SEARCH(")",F687)</f>
        <v>12</v>
      </c>
      <c r="J687" s="2" t="str">
        <f>IF(OR(ISERROR(G687),ISERROR(H687),ISERROR(I687)),"CORRUPT!","")</f>
        <v/>
      </c>
      <c r="K687" s="2" t="str">
        <f>IF(J687&lt;&gt;"","",MID(F687, G687+1, H687-G687-1))</f>
        <v>814</v>
      </c>
      <c r="L687" s="2">
        <f>IF(J687&lt;&gt;"","",LEN(K687))</f>
        <v>3</v>
      </c>
      <c r="M687" s="2" t="str">
        <f>IF(J687&lt;&gt;"","",MID(F687, H687+1, I687-H687-1))</f>
        <v>480</v>
      </c>
      <c r="N687" s="2">
        <f>IF(J687&lt;&gt;"","",LEN(M687))</f>
        <v>3</v>
      </c>
      <c r="O687" s="2">
        <f>IF(J687&lt;&gt;"","",K687*M687)</f>
        <v>390720</v>
      </c>
      <c r="R687" s="1" t="str">
        <v>491,112))//what(){#-:</v>
      </c>
      <c r="S687" s="1" t="str">
        <v>374,288</v>
      </c>
      <c r="T687" s="1" t="str">
        <v>374</v>
      </c>
      <c r="U687" s="1" t="str">
        <v>288</v>
      </c>
      <c r="V687" s="1">
        <v>107712</v>
      </c>
    </row>
    <row r="688" spans="4:22" x14ac:dyDescent="0.3">
      <c r="D688" s="2">
        <v>685</v>
      </c>
      <c r="E688" s="2">
        <f>SEARCH("mul",$C$4,E687+1)</f>
        <v>16958</v>
      </c>
      <c r="F688" s="2" t="str">
        <f>MID($C$4,E688,$F$1)</f>
        <v>mul(315,311)!wh</v>
      </c>
      <c r="G688" s="3">
        <f>SEARCH("(",F688)</f>
        <v>4</v>
      </c>
      <c r="H688" s="3">
        <f>SEARCH(",",F688)</f>
        <v>8</v>
      </c>
      <c r="I688" s="3">
        <f>SEARCH(")",F688)</f>
        <v>12</v>
      </c>
      <c r="J688" s="2" t="str">
        <f>IF(OR(ISERROR(G688),ISERROR(H688),ISERROR(I688)),"CORRUPT!","")</f>
        <v/>
      </c>
      <c r="K688" s="2" t="str">
        <f>IF(J688&lt;&gt;"","",MID(F688, G688+1, H688-G688-1))</f>
        <v>315</v>
      </c>
      <c r="L688" s="2">
        <f>IF(J688&lt;&gt;"","",LEN(K688))</f>
        <v>3</v>
      </c>
      <c r="M688" s="2" t="str">
        <f>IF(J688&lt;&gt;"","",MID(F688, H688+1, I688-H688-1))</f>
        <v>311</v>
      </c>
      <c r="N688" s="2">
        <f>IF(J688&lt;&gt;"","",LEN(M688))</f>
        <v>3</v>
      </c>
      <c r="O688" s="2">
        <f>IF(J688&lt;&gt;"","",K688*M688)</f>
        <v>97965</v>
      </c>
      <c r="R688" s="1" t="str">
        <v>239,5){,?&gt;{[@</v>
      </c>
      <c r="S688" s="1" t="str">
        <v>720,106</v>
      </c>
      <c r="T688" s="1" t="str">
        <v>720</v>
      </c>
      <c r="U688" s="1" t="str">
        <v>106</v>
      </c>
      <c r="V688" s="1">
        <v>76320</v>
      </c>
    </row>
    <row r="689" spans="4:22" x14ac:dyDescent="0.3">
      <c r="D689" s="2">
        <v>686</v>
      </c>
      <c r="E689" s="2">
        <f>SEARCH("mul",$C$4,E688+1)</f>
        <v>16983</v>
      </c>
      <c r="F689" s="2" t="str">
        <f>MID($C$4,E689,$F$1)</f>
        <v>mul(571,122)~*m</v>
      </c>
      <c r="G689" s="3">
        <f>SEARCH("(",F689)</f>
        <v>4</v>
      </c>
      <c r="H689" s="3">
        <f>SEARCH(",",F689)</f>
        <v>8</v>
      </c>
      <c r="I689" s="3">
        <f>SEARCH(")",F689)</f>
        <v>12</v>
      </c>
      <c r="J689" s="2" t="str">
        <f>IF(OR(ISERROR(G689),ISERROR(H689),ISERROR(I689)),"CORRUPT!","")</f>
        <v/>
      </c>
      <c r="K689" s="2" t="str">
        <f>IF(J689&lt;&gt;"","",MID(F689, G689+1, H689-G689-1))</f>
        <v>571</v>
      </c>
      <c r="L689" s="2">
        <f>IF(J689&lt;&gt;"","",LEN(K689))</f>
        <v>3</v>
      </c>
      <c r="M689" s="2" t="str">
        <f>IF(J689&lt;&gt;"","",MID(F689, H689+1, I689-H689-1))</f>
        <v>122</v>
      </c>
      <c r="N689" s="2">
        <f>IF(J689&lt;&gt;"","",LEN(M689))</f>
        <v>3</v>
      </c>
      <c r="O689" s="2">
        <f>IF(J689&lt;&gt;"","",K689*M689)</f>
        <v>69662</v>
      </c>
      <c r="R689" s="1" t="str">
        <v>965,299)what()?$where()(#,(?</v>
      </c>
      <c r="S689" s="1" t="str">
        <v>967,879</v>
      </c>
      <c r="T689" s="1" t="str">
        <v>967</v>
      </c>
      <c r="U689" s="1" t="str">
        <v>879</v>
      </c>
      <c r="V689" s="1">
        <v>849993</v>
      </c>
    </row>
    <row r="690" spans="4:22" x14ac:dyDescent="0.3">
      <c r="D690" s="2">
        <v>687</v>
      </c>
      <c r="E690" s="2">
        <f>SEARCH("mul",$C$4,E689+1)</f>
        <v>16997</v>
      </c>
      <c r="F690" s="2" t="str">
        <f>MID($C$4,E690,$F$1)</f>
        <v>mul(717,593))/m</v>
      </c>
      <c r="G690" s="3">
        <f>SEARCH("(",F690)</f>
        <v>4</v>
      </c>
      <c r="H690" s="3">
        <f>SEARCH(",",F690)</f>
        <v>8</v>
      </c>
      <c r="I690" s="3">
        <f>SEARCH(")",F690)</f>
        <v>12</v>
      </c>
      <c r="J690" s="2" t="str">
        <f>IF(OR(ISERROR(G690),ISERROR(H690),ISERROR(I690)),"CORRUPT!","")</f>
        <v/>
      </c>
      <c r="K690" s="2" t="str">
        <f>IF(J690&lt;&gt;"","",MID(F690, G690+1, H690-G690-1))</f>
        <v>717</v>
      </c>
      <c r="L690" s="2">
        <f>IF(J690&lt;&gt;"","",LEN(K690))</f>
        <v>3</v>
      </c>
      <c r="M690" s="2" t="str">
        <f>IF(J690&lt;&gt;"","",MID(F690, H690+1, I690-H690-1))</f>
        <v>593</v>
      </c>
      <c r="N690" s="2">
        <f>IF(J690&lt;&gt;"","",LEN(M690))</f>
        <v>3</v>
      </c>
      <c r="O690" s="2">
        <f>IF(J690&lt;&gt;"","",K690*M690)</f>
        <v>425181</v>
      </c>
      <c r="R690" s="1" t="str">
        <v>642,519),+~*]</v>
      </c>
      <c r="S690" s="1" t="str">
        <v>81,187</v>
      </c>
      <c r="T690" s="1" t="str">
        <v>81</v>
      </c>
      <c r="U690" s="1" t="str">
        <v>187</v>
      </c>
      <c r="V690" s="1">
        <v>15147</v>
      </c>
    </row>
    <row r="691" spans="4:22" x14ac:dyDescent="0.3">
      <c r="D691" s="2">
        <v>688</v>
      </c>
      <c r="E691" s="2">
        <f>SEARCH("mul",$C$4,E690+1)</f>
        <v>17011</v>
      </c>
      <c r="F691" s="2" t="str">
        <f>MID($C$4,E691,$F$1)</f>
        <v>mul(633,314)&lt;^{</v>
      </c>
      <c r="G691" s="3">
        <f>SEARCH("(",F691)</f>
        <v>4</v>
      </c>
      <c r="H691" s="3">
        <f>SEARCH(",",F691)</f>
        <v>8</v>
      </c>
      <c r="I691" s="3">
        <f>SEARCH(")",F691)</f>
        <v>12</v>
      </c>
      <c r="J691" s="2" t="str">
        <f>IF(OR(ISERROR(G691),ISERROR(H691),ISERROR(I691)),"CORRUPT!","")</f>
        <v/>
      </c>
      <c r="K691" s="2" t="str">
        <f>IF(J691&lt;&gt;"","",MID(F691, G691+1, H691-G691-1))</f>
        <v>633</v>
      </c>
      <c r="L691" s="2">
        <f>IF(J691&lt;&gt;"","",LEN(K691))</f>
        <v>3</v>
      </c>
      <c r="M691" s="2" t="str">
        <f>IF(J691&lt;&gt;"","",MID(F691, H691+1, I691-H691-1))</f>
        <v>314</v>
      </c>
      <c r="N691" s="2">
        <f>IF(J691&lt;&gt;"","",LEN(M691))</f>
        <v>3</v>
      </c>
      <c r="O691" s="2">
        <f>IF(J691&lt;&gt;"","",K691*M691)</f>
        <v>198762</v>
      </c>
      <c r="R691" s="1" t="str">
        <v>830,103)/]:</v>
      </c>
      <c r="S691" s="1" t="str">
        <v>368,22</v>
      </c>
      <c r="T691" s="1" t="str">
        <v>368</v>
      </c>
      <c r="U691" s="1" t="str">
        <v>22</v>
      </c>
      <c r="V691" s="1">
        <v>8096</v>
      </c>
    </row>
    <row r="692" spans="4:22" x14ac:dyDescent="0.3">
      <c r="D692" s="2">
        <v>689</v>
      </c>
      <c r="E692" s="2">
        <f>SEARCH("mul",$C$4,E691+1)</f>
        <v>17038</v>
      </c>
      <c r="F692" s="2" t="str">
        <f>MID($C$4,E692,$F$1)</f>
        <v>mul(26,322)mul(</v>
      </c>
      <c r="G692" s="3">
        <f>SEARCH("(",F692)</f>
        <v>4</v>
      </c>
      <c r="H692" s="3">
        <f>SEARCH(",",F692)</f>
        <v>7</v>
      </c>
      <c r="I692" s="3">
        <f>SEARCH(")",F692)</f>
        <v>11</v>
      </c>
      <c r="J692" s="2" t="str">
        <f>IF(OR(ISERROR(G692),ISERROR(H692),ISERROR(I692)),"CORRUPT!","")</f>
        <v/>
      </c>
      <c r="K692" s="2" t="str">
        <f>IF(J692&lt;&gt;"","",MID(F692, G692+1, H692-G692-1))</f>
        <v>26</v>
      </c>
      <c r="L692" s="2">
        <f>IF(J692&lt;&gt;"","",LEN(K692))</f>
        <v>2</v>
      </c>
      <c r="M692" s="2" t="str">
        <f>IF(J692&lt;&gt;"","",MID(F692, H692+1, I692-H692-1))</f>
        <v>322</v>
      </c>
      <c r="N692" s="2">
        <f>IF(J692&lt;&gt;"","",LEN(M692))</f>
        <v>3</v>
      </c>
      <c r="O692" s="2">
        <f>IF(J692&lt;&gt;"","",K692*M692)</f>
        <v>8372</v>
      </c>
      <c r="R692" s="1" t="str">
        <v>61,609)from()where()from()([</v>
      </c>
      <c r="S692" s="1" t="str">
        <v>882,60</v>
      </c>
      <c r="T692" s="1" t="str">
        <v>882</v>
      </c>
      <c r="U692" s="1" t="str">
        <v>60</v>
      </c>
      <c r="V692" s="1">
        <v>52920</v>
      </c>
    </row>
    <row r="693" spans="4:22" x14ac:dyDescent="0.3">
      <c r="D693" s="2">
        <v>690</v>
      </c>
      <c r="E693" s="2">
        <f>SEARCH("mul",$C$4,E692+1)</f>
        <v>17049</v>
      </c>
      <c r="F693" s="2" t="str">
        <f>MID($C$4,E693,$F$1)</f>
        <v>mul(792;(?:^mul</v>
      </c>
      <c r="G693" s="3">
        <f>SEARCH("(",F693)</f>
        <v>4</v>
      </c>
      <c r="H693" s="3" t="e">
        <f>SEARCH(",",F693)</f>
        <v>#VALUE!</v>
      </c>
      <c r="I693" s="3" t="e">
        <f>SEARCH(")",F693)</f>
        <v>#VALUE!</v>
      </c>
      <c r="J693" s="2" t="str">
        <f>IF(OR(ISERROR(G693),ISERROR(H693),ISERROR(I693)),"CORRUPT!","")</f>
        <v>CORRUPT!</v>
      </c>
      <c r="K693" s="2" t="str">
        <f>IF(J693&lt;&gt;"","",MID(F693, G693+1, H693-G693-1))</f>
        <v/>
      </c>
      <c r="L693" s="2" t="str">
        <f>IF(J693&lt;&gt;"","",LEN(K693))</f>
        <v/>
      </c>
      <c r="M693" s="2" t="str">
        <f>IF(J693&lt;&gt;"","",MID(F693, H693+1, I693-H693-1))</f>
        <v/>
      </c>
      <c r="N693" s="2" t="str">
        <f>IF(J693&lt;&gt;"","",LEN(M693))</f>
        <v/>
      </c>
      <c r="O693" s="2" t="str">
        <f>IF(J693&lt;&gt;"","",K693*M693)</f>
        <v/>
      </c>
      <c r="R693" s="1" t="str">
        <v>808,331)$</v>
      </c>
      <c r="S693" s="1" t="str">
        <v>144,567</v>
      </c>
      <c r="T693" s="1" t="str">
        <v>144</v>
      </c>
      <c r="U693" s="1" t="str">
        <v>567</v>
      </c>
      <c r="V693" s="1">
        <v>81648</v>
      </c>
    </row>
    <row r="694" spans="4:22" x14ac:dyDescent="0.3">
      <c r="D694" s="2">
        <v>691</v>
      </c>
      <c r="E694" s="2">
        <f>SEARCH("mul",$C$4,E693+1)</f>
        <v>17061</v>
      </c>
      <c r="F694" s="2" t="str">
        <f>MID($C$4,E694,$F$1)</f>
        <v>mul(592,551)&amp;fr</v>
      </c>
      <c r="G694" s="3">
        <f>SEARCH("(",F694)</f>
        <v>4</v>
      </c>
      <c r="H694" s="3">
        <f>SEARCH(",",F694)</f>
        <v>8</v>
      </c>
      <c r="I694" s="3">
        <f>SEARCH(")",F694)</f>
        <v>12</v>
      </c>
      <c r="J694" s="2" t="str">
        <f>IF(OR(ISERROR(G694),ISERROR(H694),ISERROR(I694)),"CORRUPT!","")</f>
        <v/>
      </c>
      <c r="K694" s="2" t="str">
        <f>IF(J694&lt;&gt;"","",MID(F694, G694+1, H694-G694-1))</f>
        <v>592</v>
      </c>
      <c r="L694" s="2">
        <f>IF(J694&lt;&gt;"","",LEN(K694))</f>
        <v>3</v>
      </c>
      <c r="M694" s="2" t="str">
        <f>IF(J694&lt;&gt;"","",MID(F694, H694+1, I694-H694-1))</f>
        <v>551</v>
      </c>
      <c r="N694" s="2">
        <f>IF(J694&lt;&gt;"","",LEN(M694))</f>
        <v>3</v>
      </c>
      <c r="O694" s="2">
        <f>IF(J694&lt;&gt;"","",K694*M694)</f>
        <v>326192</v>
      </c>
      <c r="R694" s="1" t="str">
        <v>885,259)))}</v>
      </c>
      <c r="S694" s="1" t="str">
        <v>608,319</v>
      </c>
      <c r="T694" s="1" t="str">
        <v>608</v>
      </c>
      <c r="U694" s="1" t="str">
        <v>319</v>
      </c>
      <c r="V694" s="1">
        <v>193952</v>
      </c>
    </row>
    <row r="695" spans="4:22" x14ac:dyDescent="0.3">
      <c r="D695" s="2">
        <v>692</v>
      </c>
      <c r="E695" s="2">
        <f>SEARCH("mul",$C$4,E694+1)</f>
        <v>17091</v>
      </c>
      <c r="F695" s="2" t="str">
        <f>MID($C$4,E695,$F$1)</f>
        <v>mul(276,734):mu</v>
      </c>
      <c r="G695" s="3">
        <f>SEARCH("(",F695)</f>
        <v>4</v>
      </c>
      <c r="H695" s="3">
        <f>SEARCH(",",F695)</f>
        <v>8</v>
      </c>
      <c r="I695" s="3">
        <f>SEARCH(")",F695)</f>
        <v>12</v>
      </c>
      <c r="J695" s="2" t="str">
        <f>IF(OR(ISERROR(G695),ISERROR(H695),ISERROR(I695)),"CORRUPT!","")</f>
        <v/>
      </c>
      <c r="K695" s="2" t="str">
        <f>IF(J695&lt;&gt;"","",MID(F695, G695+1, H695-G695-1))</f>
        <v>276</v>
      </c>
      <c r="L695" s="2">
        <f>IF(J695&lt;&gt;"","",LEN(K695))</f>
        <v>3</v>
      </c>
      <c r="M695" s="2" t="str">
        <f>IF(J695&lt;&gt;"","",MID(F695, H695+1, I695-H695-1))</f>
        <v>734</v>
      </c>
      <c r="N695" s="2">
        <f>IF(J695&lt;&gt;"","",LEN(M695))</f>
        <v>3</v>
      </c>
      <c r="O695" s="2">
        <f>IF(J695&lt;&gt;"","",K695*M695)</f>
        <v>202584</v>
      </c>
      <c r="R695" s="1" t="str">
        <v>902,561)$*:</v>
      </c>
      <c r="S695" s="1" t="str">
        <v>225,187</v>
      </c>
      <c r="T695" s="1" t="str">
        <v>225</v>
      </c>
      <c r="U695" s="1" t="str">
        <v>187</v>
      </c>
      <c r="V695" s="1">
        <v>42075</v>
      </c>
    </row>
    <row r="696" spans="4:22" x14ac:dyDescent="0.3">
      <c r="D696" s="2">
        <v>693</v>
      </c>
      <c r="E696" s="2">
        <f>SEARCH("mul",$C$4,E695+1)</f>
        <v>17104</v>
      </c>
      <c r="F696" s="2" t="str">
        <f>MID($C$4,E696,$F$1)</f>
        <v>mul(478,513)]wh</v>
      </c>
      <c r="G696" s="3">
        <f>SEARCH("(",F696)</f>
        <v>4</v>
      </c>
      <c r="H696" s="3">
        <f>SEARCH(",",F696)</f>
        <v>8</v>
      </c>
      <c r="I696" s="3">
        <f>SEARCH(")",F696)</f>
        <v>12</v>
      </c>
      <c r="J696" s="2" t="str">
        <f>IF(OR(ISERROR(G696),ISERROR(H696),ISERROR(I696)),"CORRUPT!","")</f>
        <v/>
      </c>
      <c r="K696" s="2" t="str">
        <f>IF(J696&lt;&gt;"","",MID(F696, G696+1, H696-G696-1))</f>
        <v>478</v>
      </c>
      <c r="L696" s="2">
        <f>IF(J696&lt;&gt;"","",LEN(K696))</f>
        <v>3</v>
      </c>
      <c r="M696" s="2" t="str">
        <f>IF(J696&lt;&gt;"","",MID(F696, H696+1, I696-H696-1))</f>
        <v>513</v>
      </c>
      <c r="N696" s="2">
        <f>IF(J696&lt;&gt;"","",LEN(M696))</f>
        <v>3</v>
      </c>
      <c r="O696" s="2">
        <f>IF(J696&lt;&gt;"","",K696*M696)</f>
        <v>245214</v>
      </c>
      <c r="R696" s="1" t="str">
        <v>320,613)[where()}</v>
      </c>
      <c r="S696" s="1" t="str">
        <v>130,278</v>
      </c>
      <c r="T696" s="1" t="str">
        <v>130</v>
      </c>
      <c r="U696" s="1" t="str">
        <v>278</v>
      </c>
      <c r="V696" s="1">
        <v>36140</v>
      </c>
    </row>
    <row r="697" spans="4:22" x14ac:dyDescent="0.3">
      <c r="D697" s="2">
        <v>694</v>
      </c>
      <c r="E697" s="2">
        <f>SEARCH("mul",$C$4,E696+1)</f>
        <v>17131</v>
      </c>
      <c r="F697" s="2" t="str">
        <f>MID($C$4,E697,$F$1)</f>
        <v>mul&amp; @+'[+mul(8</v>
      </c>
      <c r="G697" s="3">
        <f>SEARCH("(",F697)</f>
        <v>14</v>
      </c>
      <c r="H697" s="3" t="e">
        <f>SEARCH(",",F697)</f>
        <v>#VALUE!</v>
      </c>
      <c r="I697" s="3" t="e">
        <f>SEARCH(")",F697)</f>
        <v>#VALUE!</v>
      </c>
      <c r="J697" s="2" t="str">
        <f>IF(OR(ISERROR(G697),ISERROR(H697),ISERROR(I697)),"CORRUPT!","")</f>
        <v>CORRUPT!</v>
      </c>
      <c r="K697" s="2" t="str">
        <f>IF(J697&lt;&gt;"","",MID(F697, G697+1, H697-G697-1))</f>
        <v/>
      </c>
      <c r="L697" s="2" t="str">
        <f>IF(J697&lt;&gt;"","",LEN(K697))</f>
        <v/>
      </c>
      <c r="M697" s="2" t="str">
        <f>IF(J697&lt;&gt;"","",MID(F697, H697+1, I697-H697-1))</f>
        <v/>
      </c>
      <c r="N697" s="2" t="str">
        <f>IF(J697&lt;&gt;"","",LEN(M697))</f>
        <v/>
      </c>
      <c r="O697" s="2" t="str">
        <f>IF(J697&lt;&gt;"","",K697*M697)</f>
        <v/>
      </c>
      <c r="R697" s="1" t="str">
        <v>374,288)~</v>
      </c>
      <c r="S697" s="1" t="str">
        <v>348,92</v>
      </c>
      <c r="T697" s="1" t="str">
        <v>348</v>
      </c>
      <c r="U697" s="1" t="str">
        <v>92</v>
      </c>
      <c r="V697" s="1">
        <v>32016</v>
      </c>
    </row>
    <row r="698" spans="4:22" x14ac:dyDescent="0.3">
      <c r="D698" s="2">
        <v>695</v>
      </c>
      <c r="E698" s="2">
        <f>SEARCH("mul",$C$4,E697+1)</f>
        <v>17141</v>
      </c>
      <c r="F698" s="2" t="str">
        <f>MID($C$4,E698,$F$1)</f>
        <v>mul(848,726)how</v>
      </c>
      <c r="G698" s="3">
        <f>SEARCH("(",F698)</f>
        <v>4</v>
      </c>
      <c r="H698" s="3">
        <f>SEARCH(",",F698)</f>
        <v>8</v>
      </c>
      <c r="I698" s="3">
        <f>SEARCH(")",F698)</f>
        <v>12</v>
      </c>
      <c r="J698" s="2" t="str">
        <f>IF(OR(ISERROR(G698),ISERROR(H698),ISERROR(I698)),"CORRUPT!","")</f>
        <v/>
      </c>
      <c r="K698" s="2" t="str">
        <f>IF(J698&lt;&gt;"","",MID(F698, G698+1, H698-G698-1))</f>
        <v>848</v>
      </c>
      <c r="L698" s="2">
        <f>IF(J698&lt;&gt;"","",LEN(K698))</f>
        <v>3</v>
      </c>
      <c r="M698" s="2" t="str">
        <f>IF(J698&lt;&gt;"","",MID(F698, H698+1, I698-H698-1))</f>
        <v>726</v>
      </c>
      <c r="N698" s="2">
        <f>IF(J698&lt;&gt;"","",LEN(M698))</f>
        <v>3</v>
      </c>
      <c r="O698" s="2">
        <f>IF(J698&lt;&gt;"","",K698*M698)</f>
        <v>615648</v>
      </c>
      <c r="R698" s="1" t="str">
        <v>720,106)*~$</v>
      </c>
      <c r="S698" s="1" t="str">
        <v>483,262</v>
      </c>
      <c r="T698" s="1" t="str">
        <v>483</v>
      </c>
      <c r="U698" s="1" t="str">
        <v>262</v>
      </c>
      <c r="V698" s="1">
        <v>126546</v>
      </c>
    </row>
    <row r="699" spans="4:22" x14ac:dyDescent="0.3">
      <c r="D699" s="2">
        <v>696</v>
      </c>
      <c r="E699" s="2">
        <f>SEARCH("mul",$C$4,E698+1)</f>
        <v>17178</v>
      </c>
      <c r="F699" s="2" t="str">
        <f>MID($C$4,E699,$F$1)</f>
        <v>mul(412,173)?''</v>
      </c>
      <c r="G699" s="3">
        <f>SEARCH("(",F699)</f>
        <v>4</v>
      </c>
      <c r="H699" s="3">
        <f>SEARCH(",",F699)</f>
        <v>8</v>
      </c>
      <c r="I699" s="3">
        <f>SEARCH(")",F699)</f>
        <v>12</v>
      </c>
      <c r="J699" s="2" t="str">
        <f>IF(OR(ISERROR(G699),ISERROR(H699),ISERROR(I699)),"CORRUPT!","")</f>
        <v/>
      </c>
      <c r="K699" s="2" t="str">
        <f>IF(J699&lt;&gt;"","",MID(F699, G699+1, H699-G699-1))</f>
        <v>412</v>
      </c>
      <c r="L699" s="2">
        <f>IF(J699&lt;&gt;"","",LEN(K699))</f>
        <v>3</v>
      </c>
      <c r="M699" s="2" t="str">
        <f>IF(J699&lt;&gt;"","",MID(F699, H699+1, I699-H699-1))</f>
        <v>173</v>
      </c>
      <c r="N699" s="2">
        <f>IF(J699&lt;&gt;"","",LEN(M699))</f>
        <v>3</v>
      </c>
      <c r="O699" s="2">
        <f>IF(J699&lt;&gt;"","",K699*M699)</f>
        <v>71276</v>
      </c>
      <c r="R699" s="1" t="str">
        <v>967,879),who()[what()}when()/#$-</v>
      </c>
      <c r="S699" s="1" t="str">
        <v>500,537</v>
      </c>
      <c r="T699" s="1" t="str">
        <v>500</v>
      </c>
      <c r="U699" s="1" t="str">
        <v>537</v>
      </c>
      <c r="V699" s="1">
        <v>268500</v>
      </c>
    </row>
    <row r="700" spans="4:22" x14ac:dyDescent="0.3">
      <c r="D700" s="2">
        <v>697</v>
      </c>
      <c r="E700" s="2">
        <f>SEARCH("mul",$C$4,E699+1)</f>
        <v>17223</v>
      </c>
      <c r="F700" s="2" t="str">
        <f>MID($C$4,E700,$F$1)</f>
        <v>mul(306,288)(!w</v>
      </c>
      <c r="G700" s="3">
        <f>SEARCH("(",F700)</f>
        <v>4</v>
      </c>
      <c r="H700" s="3">
        <f>SEARCH(",",F700)</f>
        <v>8</v>
      </c>
      <c r="I700" s="3">
        <f>SEARCH(")",F700)</f>
        <v>12</v>
      </c>
      <c r="J700" s="2" t="str">
        <f>IF(OR(ISERROR(G700),ISERROR(H700),ISERROR(I700)),"CORRUPT!","")</f>
        <v/>
      </c>
      <c r="K700" s="2" t="str">
        <f>IF(J700&lt;&gt;"","",MID(F700, G700+1, H700-G700-1))</f>
        <v>306</v>
      </c>
      <c r="L700" s="2">
        <f>IF(J700&lt;&gt;"","",LEN(K700))</f>
        <v>3</v>
      </c>
      <c r="M700" s="2" t="str">
        <f>IF(J700&lt;&gt;"","",MID(F700, H700+1, I700-H700-1))</f>
        <v>288</v>
      </c>
      <c r="N700" s="2">
        <f>IF(J700&lt;&gt;"","",LEN(M700))</f>
        <v>3</v>
      </c>
      <c r="O700" s="2">
        <f>IF(J700&lt;&gt;"","",K700*M700)</f>
        <v>88128</v>
      </c>
      <c r="R700" s="1" t="str">
        <v>81,187)</v>
      </c>
      <c r="S700" s="1" t="str">
        <v>118,729</v>
      </c>
      <c r="T700" s="1" t="str">
        <v>118</v>
      </c>
      <c r="U700" s="1" t="str">
        <v>729</v>
      </c>
      <c r="V700" s="1">
        <v>86022</v>
      </c>
    </row>
    <row r="701" spans="4:22" x14ac:dyDescent="0.3">
      <c r="D701" s="2">
        <v>698</v>
      </c>
      <c r="E701" s="2">
        <f>SEARCH("mul",$C$4,E700+1)</f>
        <v>17258</v>
      </c>
      <c r="F701" s="2" t="str">
        <f>MID($C$4,E701,$F$1)</f>
        <v>mul(571,721):?,</v>
      </c>
      <c r="G701" s="3">
        <f>SEARCH("(",F701)</f>
        <v>4</v>
      </c>
      <c r="H701" s="3">
        <f>SEARCH(",",F701)</f>
        <v>8</v>
      </c>
      <c r="I701" s="3">
        <f>SEARCH(")",F701)</f>
        <v>12</v>
      </c>
      <c r="J701" s="2" t="str">
        <f>IF(OR(ISERROR(G701),ISERROR(H701),ISERROR(I701)),"CORRUPT!","")</f>
        <v/>
      </c>
      <c r="K701" s="2" t="str">
        <f>IF(J701&lt;&gt;"","",MID(F701, G701+1, H701-G701-1))</f>
        <v>571</v>
      </c>
      <c r="L701" s="2">
        <f>IF(J701&lt;&gt;"","",LEN(K701))</f>
        <v>3</v>
      </c>
      <c r="M701" s="2" t="str">
        <f>IF(J701&lt;&gt;"","",MID(F701, H701+1, I701-H701-1))</f>
        <v>721</v>
      </c>
      <c r="N701" s="2">
        <f>IF(J701&lt;&gt;"","",LEN(M701))</f>
        <v>3</v>
      </c>
      <c r="O701" s="2">
        <f>IF(J701&lt;&gt;"","",K701*M701)</f>
        <v>411691</v>
      </c>
      <c r="R701" s="1" t="str">
        <v>368,22);];&lt;}- @{</v>
      </c>
      <c r="S701" s="1" t="str">
        <v>155,535</v>
      </c>
      <c r="T701" s="1" t="str">
        <v>155</v>
      </c>
      <c r="U701" s="1" t="str">
        <v>535</v>
      </c>
      <c r="V701" s="1">
        <v>82925</v>
      </c>
    </row>
    <row r="702" spans="4:22" x14ac:dyDescent="0.3">
      <c r="D702" s="2">
        <v>699</v>
      </c>
      <c r="E702" s="2">
        <f>SEARCH("mul",$C$4,E701+1)</f>
        <v>17285</v>
      </c>
      <c r="F702" s="2" t="str">
        <f>MID($C$4,E702,$F$1)</f>
        <v>mul(275,614),se</v>
      </c>
      <c r="G702" s="3">
        <f>SEARCH("(",F702)</f>
        <v>4</v>
      </c>
      <c r="H702" s="3">
        <f>SEARCH(",",F702)</f>
        <v>8</v>
      </c>
      <c r="I702" s="3">
        <f>SEARCH(")",F702)</f>
        <v>12</v>
      </c>
      <c r="J702" s="2" t="str">
        <f>IF(OR(ISERROR(G702),ISERROR(H702),ISERROR(I702)),"CORRUPT!","")</f>
        <v/>
      </c>
      <c r="K702" s="2" t="str">
        <f>IF(J702&lt;&gt;"","",MID(F702, G702+1, H702-G702-1))</f>
        <v>275</v>
      </c>
      <c r="L702" s="2">
        <f>IF(J702&lt;&gt;"","",LEN(K702))</f>
        <v>3</v>
      </c>
      <c r="M702" s="2" t="str">
        <f>IF(J702&lt;&gt;"","",MID(F702, H702+1, I702-H702-1))</f>
        <v>614</v>
      </c>
      <c r="N702" s="2">
        <f>IF(J702&lt;&gt;"","",LEN(M702))</f>
        <v>3</v>
      </c>
      <c r="O702" s="2">
        <f>IF(J702&lt;&gt;"","",K702*M702)</f>
        <v>168850</v>
      </c>
      <c r="R702" s="1" t="str">
        <v>882,60)#select()when()</v>
      </c>
      <c r="S702" s="1" t="str">
        <v>685,187</v>
      </c>
      <c r="T702" s="1" t="str">
        <v>685</v>
      </c>
      <c r="U702" s="1" t="str">
        <v>187</v>
      </c>
      <c r="V702" s="1">
        <v>128095</v>
      </c>
    </row>
    <row r="703" spans="4:22" x14ac:dyDescent="0.3">
      <c r="D703" s="2">
        <v>700</v>
      </c>
      <c r="E703" s="2">
        <f>SEARCH("mul",$C$4,E702+1)</f>
        <v>17308</v>
      </c>
      <c r="F703" s="2" t="str">
        <f>MID($C$4,E703,$F$1)</f>
        <v>mul(611,515)how</v>
      </c>
      <c r="G703" s="3">
        <f>SEARCH("(",F703)</f>
        <v>4</v>
      </c>
      <c r="H703" s="3">
        <f>SEARCH(",",F703)</f>
        <v>8</v>
      </c>
      <c r="I703" s="3">
        <f>SEARCH(")",F703)</f>
        <v>12</v>
      </c>
      <c r="J703" s="2" t="str">
        <f>IF(OR(ISERROR(G703),ISERROR(H703),ISERROR(I703)),"CORRUPT!","")</f>
        <v/>
      </c>
      <c r="K703" s="2" t="str">
        <f>IF(J703&lt;&gt;"","",MID(F703, G703+1, H703-G703-1))</f>
        <v>611</v>
      </c>
      <c r="L703" s="2">
        <f>IF(J703&lt;&gt;"","",LEN(K703))</f>
        <v>3</v>
      </c>
      <c r="M703" s="2" t="str">
        <f>IF(J703&lt;&gt;"","",MID(F703, H703+1, I703-H703-1))</f>
        <v>515</v>
      </c>
      <c r="N703" s="2">
        <f>IF(J703&lt;&gt;"","",LEN(M703))</f>
        <v>3</v>
      </c>
      <c r="O703" s="2">
        <f>IF(J703&lt;&gt;"","",K703*M703)</f>
        <v>314665</v>
      </c>
      <c r="R703" s="1" t="str">
        <v xml:space="preserve">144,567);what(),,#don't(){+from()'! </v>
      </c>
      <c r="S703" s="1" t="str">
        <v>174,160</v>
      </c>
      <c r="T703" s="1" t="str">
        <v>174</v>
      </c>
      <c r="U703" s="1" t="str">
        <v>160</v>
      </c>
      <c r="V703" s="1">
        <v>27840</v>
      </c>
    </row>
    <row r="704" spans="4:22" x14ac:dyDescent="0.3">
      <c r="D704" s="2">
        <v>701</v>
      </c>
      <c r="E704" s="2">
        <f>SEARCH("mul",$C$4,E703+1)</f>
        <v>17340</v>
      </c>
      <c r="F704" s="2" t="str">
        <f>MID($C$4,E704,$F$1)</f>
        <v>mul(741,23),sel</v>
      </c>
      <c r="G704" s="3">
        <f>SEARCH("(",F704)</f>
        <v>4</v>
      </c>
      <c r="H704" s="3">
        <f>SEARCH(",",F704)</f>
        <v>8</v>
      </c>
      <c r="I704" s="3">
        <f>SEARCH(")",F704)</f>
        <v>11</v>
      </c>
      <c r="J704" s="2" t="str">
        <f>IF(OR(ISERROR(G704),ISERROR(H704),ISERROR(I704)),"CORRUPT!","")</f>
        <v/>
      </c>
      <c r="K704" s="2" t="str">
        <f>IF(J704&lt;&gt;"","",MID(F704, G704+1, H704-G704-1))</f>
        <v>741</v>
      </c>
      <c r="L704" s="2">
        <f>IF(J704&lt;&gt;"","",LEN(K704))</f>
        <v>3</v>
      </c>
      <c r="M704" s="2" t="str">
        <f>IF(J704&lt;&gt;"","",MID(F704, H704+1, I704-H704-1))</f>
        <v>23</v>
      </c>
      <c r="N704" s="2">
        <f>IF(J704&lt;&gt;"","",LEN(M704))</f>
        <v>2</v>
      </c>
      <c r="O704" s="2">
        <f>IF(J704&lt;&gt;"","",K704*M704)</f>
        <v>17043</v>
      </c>
      <c r="R704" s="1" t="str">
        <v>608,319)(</v>
      </c>
      <c r="S704" s="1" t="str">
        <v>100,237</v>
      </c>
      <c r="T704" s="1" t="str">
        <v>100</v>
      </c>
      <c r="U704" s="1" t="str">
        <v>237</v>
      </c>
      <c r="V704" s="1">
        <v>23700</v>
      </c>
    </row>
    <row r="705" spans="4:22" x14ac:dyDescent="0.3">
      <c r="D705" s="2">
        <v>702</v>
      </c>
      <c r="E705" s="2">
        <f>SEARCH("mul",$C$4,E704+1)</f>
        <v>17375</v>
      </c>
      <c r="F705" s="2" t="str">
        <f>MID($C$4,E705,$F$1)</f>
        <v>mul(144,95,why(</v>
      </c>
      <c r="G705" s="3">
        <f>SEARCH("(",F705)</f>
        <v>4</v>
      </c>
      <c r="H705" s="3">
        <f>SEARCH(",",F705)</f>
        <v>8</v>
      </c>
      <c r="I705" s="3" t="e">
        <f>SEARCH(")",F705)</f>
        <v>#VALUE!</v>
      </c>
      <c r="J705" s="2" t="str">
        <f>IF(OR(ISERROR(G705),ISERROR(H705),ISERROR(I705)),"CORRUPT!","")</f>
        <v>CORRUPT!</v>
      </c>
      <c r="K705" s="2" t="str">
        <f>IF(J705&lt;&gt;"","",MID(F705, G705+1, H705-G705-1))</f>
        <v/>
      </c>
      <c r="L705" s="2" t="str">
        <f>IF(J705&lt;&gt;"","",LEN(K705))</f>
        <v/>
      </c>
      <c r="M705" s="2" t="str">
        <f>IF(J705&lt;&gt;"","",MID(F705, H705+1, I705-H705-1))</f>
        <v/>
      </c>
      <c r="N705" s="2" t="str">
        <f>IF(J705&lt;&gt;"","",LEN(M705))</f>
        <v/>
      </c>
      <c r="O705" s="2" t="str">
        <f>IF(J705&lt;&gt;"","",K705*M705)</f>
        <v/>
      </c>
      <c r="R705" s="1" t="str">
        <v>225,187)%%(&lt;,@#+%select()</v>
      </c>
      <c r="S705" s="1" t="str">
        <v>234,939</v>
      </c>
      <c r="T705" s="1" t="str">
        <v>234</v>
      </c>
      <c r="U705" s="1" t="str">
        <v>939</v>
      </c>
      <c r="V705" s="1">
        <v>219726</v>
      </c>
    </row>
    <row r="706" spans="4:22" x14ac:dyDescent="0.3">
      <c r="D706" s="2">
        <v>703</v>
      </c>
      <c r="E706" s="2">
        <f>SEARCH("mul",$C$4,E705+1)</f>
        <v>17413</v>
      </c>
      <c r="F706" s="2" t="str">
        <f>MID($C$4,E706,$F$1)</f>
        <v>mul(380,549)%:%</v>
      </c>
      <c r="G706" s="3">
        <f>SEARCH("(",F706)</f>
        <v>4</v>
      </c>
      <c r="H706" s="3">
        <f>SEARCH(",",F706)</f>
        <v>8</v>
      </c>
      <c r="I706" s="3">
        <f>SEARCH(")",F706)</f>
        <v>12</v>
      </c>
      <c r="J706" s="2" t="str">
        <f>IF(OR(ISERROR(G706),ISERROR(H706),ISERROR(I706)),"CORRUPT!","")</f>
        <v/>
      </c>
      <c r="K706" s="2" t="str">
        <f>IF(J706&lt;&gt;"","",MID(F706, G706+1, H706-G706-1))</f>
        <v>380</v>
      </c>
      <c r="L706" s="2">
        <f>IF(J706&lt;&gt;"","",LEN(K706))</f>
        <v>3</v>
      </c>
      <c r="M706" s="2" t="str">
        <f>IF(J706&lt;&gt;"","",MID(F706, H706+1, I706-H706-1))</f>
        <v>549</v>
      </c>
      <c r="N706" s="2">
        <f>IF(J706&lt;&gt;"","",LEN(M706))</f>
        <v>3</v>
      </c>
      <c r="O706" s="2">
        <f>IF(J706&lt;&gt;"","",K706*M706)</f>
        <v>208620</v>
      </c>
      <c r="R706" s="1" t="str">
        <v>130,278)!select()}&lt;when()where()</v>
      </c>
      <c r="S706" s="1" t="str">
        <v>328,456</v>
      </c>
      <c r="T706" s="1" t="str">
        <v>328</v>
      </c>
      <c r="U706" s="1" t="str">
        <v>456</v>
      </c>
      <c r="V706" s="1">
        <v>149568</v>
      </c>
    </row>
    <row r="707" spans="4:22" x14ac:dyDescent="0.3">
      <c r="D707" s="2">
        <v>704</v>
      </c>
      <c r="E707" s="2">
        <f>SEARCH("mul",$C$4,E706+1)</f>
        <v>17435</v>
      </c>
      <c r="F707" s="2" t="str">
        <f>MID($C$4,E707,$F$1)</f>
        <v>mul(19,964)wher</v>
      </c>
      <c r="G707" s="3">
        <f>SEARCH("(",F707)</f>
        <v>4</v>
      </c>
      <c r="H707" s="3">
        <f>SEARCH(",",F707)</f>
        <v>7</v>
      </c>
      <c r="I707" s="3">
        <f>SEARCH(")",F707)</f>
        <v>11</v>
      </c>
      <c r="J707" s="2" t="str">
        <f>IF(OR(ISERROR(G707),ISERROR(H707),ISERROR(I707)),"CORRUPT!","")</f>
        <v/>
      </c>
      <c r="K707" s="2" t="str">
        <f>IF(J707&lt;&gt;"","",MID(F707, G707+1, H707-G707-1))</f>
        <v>19</v>
      </c>
      <c r="L707" s="2">
        <f>IF(J707&lt;&gt;"","",LEN(K707))</f>
        <v>2</v>
      </c>
      <c r="M707" s="2" t="str">
        <f>IF(J707&lt;&gt;"","",MID(F707, H707+1, I707-H707-1))</f>
        <v>964</v>
      </c>
      <c r="N707" s="2">
        <f>IF(J707&lt;&gt;"","",LEN(M707))</f>
        <v>3</v>
      </c>
      <c r="O707" s="2">
        <f>IF(J707&lt;&gt;"","",K707*M707)</f>
        <v>18316</v>
      </c>
      <c r="R707" s="1" t="str">
        <v>348,92):from()[</v>
      </c>
      <c r="S707" s="1" t="str">
        <v>427,653</v>
      </c>
      <c r="T707" s="1" t="str">
        <v>427</v>
      </c>
      <c r="U707" s="1" t="str">
        <v>653</v>
      </c>
      <c r="V707" s="1">
        <v>278831</v>
      </c>
    </row>
    <row r="708" spans="4:22" x14ac:dyDescent="0.3">
      <c r="D708" s="2">
        <v>705</v>
      </c>
      <c r="E708" s="2">
        <f>SEARCH("mul",$C$4,E707+1)</f>
        <v>17462</v>
      </c>
      <c r="F708" s="2" t="str">
        <f>MID($C$4,E708,$F$1)</f>
        <v>mul(194,612)}+^</v>
      </c>
      <c r="G708" s="3">
        <f>SEARCH("(",F708)</f>
        <v>4</v>
      </c>
      <c r="H708" s="3">
        <f>SEARCH(",",F708)</f>
        <v>8</v>
      </c>
      <c r="I708" s="3">
        <f>SEARCH(")",F708)</f>
        <v>12</v>
      </c>
      <c r="J708" s="2" t="str">
        <f>IF(OR(ISERROR(G708),ISERROR(H708),ISERROR(I708)),"CORRUPT!","")</f>
        <v/>
      </c>
      <c r="K708" s="2" t="str">
        <f>IF(J708&lt;&gt;"","",MID(F708, G708+1, H708-G708-1))</f>
        <v>194</v>
      </c>
      <c r="L708" s="2">
        <f>IF(J708&lt;&gt;"","",LEN(K708))</f>
        <v>3</v>
      </c>
      <c r="M708" s="2" t="str">
        <f>IF(J708&lt;&gt;"","",MID(F708, H708+1, I708-H708-1))</f>
        <v>612</v>
      </c>
      <c r="N708" s="2">
        <f>IF(J708&lt;&gt;"","",LEN(M708))</f>
        <v>3</v>
      </c>
      <c r="O708" s="2">
        <f>IF(J708&lt;&gt;"","",K708*M708)</f>
        <v>118728</v>
      </c>
      <c r="R708" s="1" t="str">
        <v>483,262)don't()*+&amp;&amp;}$</v>
      </c>
      <c r="S708" s="1" t="str">
        <v>58,176</v>
      </c>
      <c r="T708" s="1" t="str">
        <v>58</v>
      </c>
      <c r="U708" s="1" t="str">
        <v>176</v>
      </c>
      <c r="V708" s="1">
        <v>10208</v>
      </c>
    </row>
    <row r="709" spans="4:22" x14ac:dyDescent="0.3">
      <c r="D709" s="2">
        <v>706</v>
      </c>
      <c r="E709" s="2">
        <f>SEARCH("mul",$C$4,E708+1)</f>
        <v>17484</v>
      </c>
      <c r="F709" s="2" t="str">
        <f>MID($C$4,E709,$F$1)</f>
        <v>mul(491,112))//</v>
      </c>
      <c r="G709" s="3">
        <f>SEARCH("(",F709)</f>
        <v>4</v>
      </c>
      <c r="H709" s="3">
        <f>SEARCH(",",F709)</f>
        <v>8</v>
      </c>
      <c r="I709" s="3">
        <f>SEARCH(")",F709)</f>
        <v>12</v>
      </c>
      <c r="J709" s="2" t="str">
        <f>IF(OR(ISERROR(G709),ISERROR(H709),ISERROR(I709)),"CORRUPT!","")</f>
        <v/>
      </c>
      <c r="K709" s="2" t="str">
        <f>IF(J709&lt;&gt;"","",MID(F709, G709+1, H709-G709-1))</f>
        <v>491</v>
      </c>
      <c r="L709" s="2">
        <f>IF(J709&lt;&gt;"","",LEN(K709))</f>
        <v>3</v>
      </c>
      <c r="M709" s="2" t="str">
        <f>IF(J709&lt;&gt;"","",MID(F709, H709+1, I709-H709-1))</f>
        <v>112</v>
      </c>
      <c r="N709" s="2">
        <f>IF(J709&lt;&gt;"","",LEN(M709))</f>
        <v>3</v>
      </c>
      <c r="O709" s="2">
        <f>IF(J709&lt;&gt;"","",K709*M709)</f>
        <v>54992</v>
      </c>
      <c r="R709" s="1" t="str">
        <v>500,537)%(what()what()select()+^;do()where()]][/%select()*</v>
      </c>
      <c r="S709" s="1" t="str">
        <v>449,899</v>
      </c>
      <c r="T709" s="1" t="str">
        <v>449</v>
      </c>
      <c r="U709" s="1" t="str">
        <v>899</v>
      </c>
      <c r="V709" s="1">
        <v>403651</v>
      </c>
    </row>
    <row r="710" spans="4:22" x14ac:dyDescent="0.3">
      <c r="D710" s="2">
        <v>707</v>
      </c>
      <c r="E710" s="2">
        <f>SEARCH("mul",$C$4,E709+1)</f>
        <v>17509</v>
      </c>
      <c r="F710" s="2" t="str">
        <f>MID($C$4,E710,$F$1)</f>
        <v>mul(239,5){,?&gt;{</v>
      </c>
      <c r="G710" s="3">
        <f>SEARCH("(",F710)</f>
        <v>4</v>
      </c>
      <c r="H710" s="3">
        <f>SEARCH(",",F710)</f>
        <v>8</v>
      </c>
      <c r="I710" s="3">
        <f>SEARCH(")",F710)</f>
        <v>10</v>
      </c>
      <c r="J710" s="2" t="str">
        <f>IF(OR(ISERROR(G710),ISERROR(H710),ISERROR(I710)),"CORRUPT!","")</f>
        <v/>
      </c>
      <c r="K710" s="2" t="str">
        <f>IF(J710&lt;&gt;"","",MID(F710, G710+1, H710-G710-1))</f>
        <v>239</v>
      </c>
      <c r="L710" s="2">
        <f>IF(J710&lt;&gt;"","",LEN(K710))</f>
        <v>3</v>
      </c>
      <c r="M710" s="2" t="str">
        <f>IF(J710&lt;&gt;"","",MID(F710, H710+1, I710-H710-1))</f>
        <v>5</v>
      </c>
      <c r="N710" s="2">
        <f>IF(J710&lt;&gt;"","",LEN(M710))</f>
        <v>1</v>
      </c>
      <c r="O710" s="2">
        <f>IF(J710&lt;&gt;"","",K710*M710)</f>
        <v>1195</v>
      </c>
      <c r="R710" s="1" t="str">
        <v>118,729)+;[!why()$@</v>
      </c>
      <c r="S710" s="1" t="str">
        <v>529,302</v>
      </c>
      <c r="T710" s="1" t="str">
        <v>529</v>
      </c>
      <c r="U710" s="1" t="str">
        <v>302</v>
      </c>
      <c r="V710" s="1">
        <v>159758</v>
      </c>
    </row>
    <row r="711" spans="4:22" x14ac:dyDescent="0.3">
      <c r="D711" s="2">
        <v>708</v>
      </c>
      <c r="E711" s="2">
        <f>SEARCH("mul",$C$4,E710+1)</f>
        <v>17526</v>
      </c>
      <c r="F711" s="2" t="str">
        <f>MID($C$4,E711,$F$1)</f>
        <v>mul(965,299)wha</v>
      </c>
      <c r="G711" s="3">
        <f>SEARCH("(",F711)</f>
        <v>4</v>
      </c>
      <c r="H711" s="3">
        <f>SEARCH(",",F711)</f>
        <v>8</v>
      </c>
      <c r="I711" s="3">
        <f>SEARCH(")",F711)</f>
        <v>12</v>
      </c>
      <c r="J711" s="2" t="str">
        <f>IF(OR(ISERROR(G711),ISERROR(H711),ISERROR(I711)),"CORRUPT!","")</f>
        <v/>
      </c>
      <c r="K711" s="2" t="str">
        <f>IF(J711&lt;&gt;"","",MID(F711, G711+1, H711-G711-1))</f>
        <v>965</v>
      </c>
      <c r="L711" s="2">
        <f>IF(J711&lt;&gt;"","",LEN(K711))</f>
        <v>3</v>
      </c>
      <c r="M711" s="2" t="str">
        <f>IF(J711&lt;&gt;"","",MID(F711, H711+1, I711-H711-1))</f>
        <v>299</v>
      </c>
      <c r="N711" s="2">
        <f>IF(J711&lt;&gt;"","",LEN(M711))</f>
        <v>3</v>
      </c>
      <c r="O711" s="2">
        <f>IF(J711&lt;&gt;"","",K711*M711)</f>
        <v>288535</v>
      </c>
      <c r="R711" s="1" t="str">
        <v>155,535)}from() ^*#select()how()'</v>
      </c>
      <c r="S711" s="1" t="str">
        <v>382,944</v>
      </c>
      <c r="T711" s="1" t="str">
        <v>382</v>
      </c>
      <c r="U711" s="1" t="str">
        <v>944</v>
      </c>
      <c r="V711" s="1">
        <v>360608</v>
      </c>
    </row>
    <row r="712" spans="4:22" x14ac:dyDescent="0.3">
      <c r="D712" s="2">
        <v>709</v>
      </c>
      <c r="E712" s="2">
        <f>SEARCH("mul",$C$4,E711+1)</f>
        <v>17558</v>
      </c>
      <c r="F712" s="2" t="str">
        <f>MID($C$4,E712,$F$1)</f>
        <v>mul(642,519),+~</v>
      </c>
      <c r="G712" s="3">
        <f>SEARCH("(",F712)</f>
        <v>4</v>
      </c>
      <c r="H712" s="3">
        <f>SEARCH(",",F712)</f>
        <v>8</v>
      </c>
      <c r="I712" s="3">
        <f>SEARCH(")",F712)</f>
        <v>12</v>
      </c>
      <c r="J712" s="2" t="str">
        <f>IF(OR(ISERROR(G712),ISERROR(H712),ISERROR(I712)),"CORRUPT!","")</f>
        <v/>
      </c>
      <c r="K712" s="2" t="str">
        <f>IF(J712&lt;&gt;"","",MID(F712, G712+1, H712-G712-1))</f>
        <v>642</v>
      </c>
      <c r="L712" s="2">
        <f>IF(J712&lt;&gt;"","",LEN(K712))</f>
        <v>3</v>
      </c>
      <c r="M712" s="2" t="str">
        <f>IF(J712&lt;&gt;"","",MID(F712, H712+1, I712-H712-1))</f>
        <v>519</v>
      </c>
      <c r="N712" s="2">
        <f>IF(J712&lt;&gt;"","",LEN(M712))</f>
        <v>3</v>
      </c>
      <c r="O712" s="2">
        <f>IF(J712&lt;&gt;"","",K712*M712)</f>
        <v>333198</v>
      </c>
      <c r="R712" s="1" t="str">
        <v>685,187))*don't()what()(&amp;/{</v>
      </c>
      <c r="S712" s="1" t="str">
        <v>348,909</v>
      </c>
      <c r="T712" s="1" t="str">
        <v>348</v>
      </c>
      <c r="U712" s="1" t="str">
        <v>909</v>
      </c>
      <c r="V712" s="1">
        <v>316332</v>
      </c>
    </row>
    <row r="713" spans="4:22" x14ac:dyDescent="0.3">
      <c r="D713" s="2">
        <v>710</v>
      </c>
      <c r="E713" s="2">
        <f>SEARCH("mul",$C$4,E712+1)</f>
        <v>17575</v>
      </c>
      <c r="F713" s="2" t="str">
        <f>MID($C$4,E713,$F$1)</f>
        <v>mul(830,103)/]:</v>
      </c>
      <c r="G713" s="3">
        <f>SEARCH("(",F713)</f>
        <v>4</v>
      </c>
      <c r="H713" s="3">
        <f>SEARCH(",",F713)</f>
        <v>8</v>
      </c>
      <c r="I713" s="3">
        <f>SEARCH(")",F713)</f>
        <v>12</v>
      </c>
      <c r="J713" s="2" t="str">
        <f>IF(OR(ISERROR(G713),ISERROR(H713),ISERROR(I713)),"CORRUPT!","")</f>
        <v/>
      </c>
      <c r="K713" s="2" t="str">
        <f>IF(J713&lt;&gt;"","",MID(F713, G713+1, H713-G713-1))</f>
        <v>830</v>
      </c>
      <c r="L713" s="2">
        <f>IF(J713&lt;&gt;"","",LEN(K713))</f>
        <v>3</v>
      </c>
      <c r="M713" s="2" t="str">
        <f>IF(J713&lt;&gt;"","",MID(F713, H713+1, I713-H713-1))</f>
        <v>103</v>
      </c>
      <c r="N713" s="2">
        <f>IF(J713&lt;&gt;"","",LEN(M713))</f>
        <v>3</v>
      </c>
      <c r="O713" s="2">
        <f>IF(J713&lt;&gt;"","",K713*M713)</f>
        <v>85490</v>
      </c>
      <c r="R713" s="1" t="str">
        <v>174,160)&amp;+~:</v>
      </c>
      <c r="S713" s="1" t="str">
        <v>595,427</v>
      </c>
      <c r="T713" s="1" t="str">
        <v>595</v>
      </c>
      <c r="U713" s="1" t="str">
        <v>427</v>
      </c>
      <c r="V713" s="1">
        <v>254065</v>
      </c>
    </row>
    <row r="714" spans="4:22" x14ac:dyDescent="0.3">
      <c r="D714" s="2">
        <v>711</v>
      </c>
      <c r="E714" s="2">
        <f>SEARCH("mul",$C$4,E713+1)</f>
        <v>17590</v>
      </c>
      <c r="F714" s="2" t="str">
        <f>MID($C$4,E714,$F$1)</f>
        <v>mul(61,609)from</v>
      </c>
      <c r="G714" s="3">
        <f>SEARCH("(",F714)</f>
        <v>4</v>
      </c>
      <c r="H714" s="3">
        <f>SEARCH(",",F714)</f>
        <v>7</v>
      </c>
      <c r="I714" s="3">
        <f>SEARCH(")",F714)</f>
        <v>11</v>
      </c>
      <c r="J714" s="2" t="str">
        <f>IF(OR(ISERROR(G714),ISERROR(H714),ISERROR(I714)),"CORRUPT!","")</f>
        <v/>
      </c>
      <c r="K714" s="2" t="str">
        <f>IF(J714&lt;&gt;"","",MID(F714, G714+1, H714-G714-1))</f>
        <v>61</v>
      </c>
      <c r="L714" s="2">
        <f>IF(J714&lt;&gt;"","",LEN(K714))</f>
        <v>2</v>
      </c>
      <c r="M714" s="2" t="str">
        <f>IF(J714&lt;&gt;"","",MID(F714, H714+1, I714-H714-1))</f>
        <v>609</v>
      </c>
      <c r="N714" s="2">
        <f>IF(J714&lt;&gt;"","",LEN(M714))</f>
        <v>3</v>
      </c>
      <c r="O714" s="2">
        <f>IF(J714&lt;&gt;"","",K714*M714)</f>
        <v>37149</v>
      </c>
      <c r="R714" s="1" t="str">
        <v>100,237)&lt;</v>
      </c>
      <c r="S714" s="1" t="str">
        <v>896,889</v>
      </c>
      <c r="T714" s="1" t="str">
        <v>896</v>
      </c>
      <c r="U714" s="1" t="str">
        <v>889</v>
      </c>
      <c r="V714" s="1">
        <v>796544</v>
      </c>
    </row>
    <row r="715" spans="4:22" x14ac:dyDescent="0.3">
      <c r="D715" s="2">
        <v>712</v>
      </c>
      <c r="E715" s="2">
        <f>SEARCH("mul",$C$4,E714+1)</f>
        <v>17622</v>
      </c>
      <c r="F715" s="2" t="str">
        <f>MID($C$4,E715,$F$1)</f>
        <v>mul(808,331)$mu</v>
      </c>
      <c r="G715" s="3">
        <f>SEARCH("(",F715)</f>
        <v>4</v>
      </c>
      <c r="H715" s="3">
        <f>SEARCH(",",F715)</f>
        <v>8</v>
      </c>
      <c r="I715" s="3">
        <f>SEARCH(")",F715)</f>
        <v>12</v>
      </c>
      <c r="J715" s="2" t="str">
        <f>IF(OR(ISERROR(G715),ISERROR(H715),ISERROR(I715)),"CORRUPT!","")</f>
        <v/>
      </c>
      <c r="K715" s="2" t="str">
        <f>IF(J715&lt;&gt;"","",MID(F715, G715+1, H715-G715-1))</f>
        <v>808</v>
      </c>
      <c r="L715" s="2">
        <f>IF(J715&lt;&gt;"","",LEN(K715))</f>
        <v>3</v>
      </c>
      <c r="M715" s="2" t="str">
        <f>IF(J715&lt;&gt;"","",MID(F715, H715+1, I715-H715-1))</f>
        <v>331</v>
      </c>
      <c r="N715" s="2">
        <f>IF(J715&lt;&gt;"","",LEN(M715))</f>
        <v>3</v>
      </c>
      <c r="O715" s="2">
        <f>IF(J715&lt;&gt;"","",K715*M715)</f>
        <v>267448</v>
      </c>
      <c r="R715" s="1" t="str">
        <v>234,939)</v>
      </c>
      <c r="S715" s="1" t="str">
        <v>212,114</v>
      </c>
      <c r="T715" s="1" t="str">
        <v>212</v>
      </c>
      <c r="U715" s="1" t="str">
        <v>114</v>
      </c>
      <c r="V715" s="1">
        <v>24168</v>
      </c>
    </row>
    <row r="716" spans="4:22" x14ac:dyDescent="0.3">
      <c r="D716" s="2">
        <v>713</v>
      </c>
      <c r="E716" s="2">
        <f>SEARCH("mul",$C$4,E715+1)</f>
        <v>17635</v>
      </c>
      <c r="F716" s="2" t="str">
        <f>MID($C$4,E716,$F$1)</f>
        <v>mul(885,259)))}</v>
      </c>
      <c r="G716" s="3">
        <f>SEARCH("(",F716)</f>
        <v>4</v>
      </c>
      <c r="H716" s="3">
        <f>SEARCH(",",F716)</f>
        <v>8</v>
      </c>
      <c r="I716" s="3">
        <f>SEARCH(")",F716)</f>
        <v>12</v>
      </c>
      <c r="J716" s="2" t="str">
        <f>IF(OR(ISERROR(G716),ISERROR(H716),ISERROR(I716)),"CORRUPT!","")</f>
        <v/>
      </c>
      <c r="K716" s="2" t="str">
        <f>IF(J716&lt;&gt;"","",MID(F716, G716+1, H716-G716-1))</f>
        <v>885</v>
      </c>
      <c r="L716" s="2">
        <f>IF(J716&lt;&gt;"","",LEN(K716))</f>
        <v>3</v>
      </c>
      <c r="M716" s="2" t="str">
        <f>IF(J716&lt;&gt;"","",MID(F716, H716+1, I716-H716-1))</f>
        <v>259</v>
      </c>
      <c r="N716" s="2">
        <f>IF(J716&lt;&gt;"","",LEN(M716))</f>
        <v>3</v>
      </c>
      <c r="O716" s="2">
        <f>IF(J716&lt;&gt;"","",K716*M716)</f>
        <v>229215</v>
      </c>
      <c r="R716" s="1" t="str">
        <v>328,456)</v>
      </c>
      <c r="S716" s="1" t="str">
        <v>796,319</v>
      </c>
      <c r="T716" s="1" t="str">
        <v>796</v>
      </c>
      <c r="U716" s="1" t="str">
        <v>319</v>
      </c>
      <c r="V716" s="1">
        <v>253924</v>
      </c>
    </row>
    <row r="717" spans="4:22" x14ac:dyDescent="0.3">
      <c r="D717" s="2">
        <v>714</v>
      </c>
      <c r="E717" s="2">
        <f>SEARCH("mul",$C$4,E716+1)</f>
        <v>17650</v>
      </c>
      <c r="F717" s="2" t="str">
        <f>MID($C$4,E717,$F$1)</f>
        <v>mul(902,561)$*:</v>
      </c>
      <c r="G717" s="3">
        <f>SEARCH("(",F717)</f>
        <v>4</v>
      </c>
      <c r="H717" s="3">
        <f>SEARCH(",",F717)</f>
        <v>8</v>
      </c>
      <c r="I717" s="3">
        <f>SEARCH(")",F717)</f>
        <v>12</v>
      </c>
      <c r="J717" s="2" t="str">
        <f>IF(OR(ISERROR(G717),ISERROR(H717),ISERROR(I717)),"CORRUPT!","")</f>
        <v/>
      </c>
      <c r="K717" s="2" t="str">
        <f>IF(J717&lt;&gt;"","",MID(F717, G717+1, H717-G717-1))</f>
        <v>902</v>
      </c>
      <c r="L717" s="2">
        <f>IF(J717&lt;&gt;"","",LEN(K717))</f>
        <v>3</v>
      </c>
      <c r="M717" s="2" t="str">
        <f>IF(J717&lt;&gt;"","",MID(F717, H717+1, I717-H717-1))</f>
        <v>561</v>
      </c>
      <c r="N717" s="2">
        <f>IF(J717&lt;&gt;"","",LEN(M717))</f>
        <v>3</v>
      </c>
      <c r="O717" s="2">
        <f>IF(J717&lt;&gt;"","",K717*M717)</f>
        <v>506022</v>
      </c>
      <c r="R717" s="1" t="str">
        <v>427,653))where()why(162,868){,</v>
      </c>
      <c r="S717" s="1" t="str">
        <v>161,245</v>
      </c>
      <c r="T717" s="1" t="str">
        <v>161</v>
      </c>
      <c r="U717" s="1" t="str">
        <v>245</v>
      </c>
      <c r="V717" s="1">
        <v>39445</v>
      </c>
    </row>
    <row r="718" spans="4:22" x14ac:dyDescent="0.3">
      <c r="D718" s="2">
        <v>715</v>
      </c>
      <c r="E718" s="2">
        <f>SEARCH("mul",$C$4,E717+1)</f>
        <v>17665</v>
      </c>
      <c r="F718" s="2" t="str">
        <f>MID($C$4,E718,$F$1)</f>
        <v>mul(320,613)[wh</v>
      </c>
      <c r="G718" s="3">
        <f>SEARCH("(",F718)</f>
        <v>4</v>
      </c>
      <c r="H718" s="3">
        <f>SEARCH(",",F718)</f>
        <v>8</v>
      </c>
      <c r="I718" s="3">
        <f>SEARCH(")",F718)</f>
        <v>12</v>
      </c>
      <c r="J718" s="2" t="str">
        <f>IF(OR(ISERROR(G718),ISERROR(H718),ISERROR(I718)),"CORRUPT!","")</f>
        <v/>
      </c>
      <c r="K718" s="2" t="str">
        <f>IF(J718&lt;&gt;"","",MID(F718, G718+1, H718-G718-1))</f>
        <v>320</v>
      </c>
      <c r="L718" s="2">
        <f>IF(J718&lt;&gt;"","",LEN(K718))</f>
        <v>3</v>
      </c>
      <c r="M718" s="2" t="str">
        <f>IF(J718&lt;&gt;"","",MID(F718, H718+1, I718-H718-1))</f>
        <v>613</v>
      </c>
      <c r="N718" s="2">
        <f>IF(J718&lt;&gt;"","",LEN(M718))</f>
        <v>3</v>
      </c>
      <c r="O718" s="2">
        <f>IF(J718&lt;&gt;"","",K718*M718)</f>
        <v>196160</v>
      </c>
      <c r="R718" s="1" t="str">
        <v>58,176)'}why()from()&amp;'why()?</v>
      </c>
      <c r="S718" s="1" t="str">
        <v>211,760</v>
      </c>
      <c r="T718" s="1" t="str">
        <v>211</v>
      </c>
      <c r="U718" s="1" t="str">
        <v>760</v>
      </c>
      <c r="V718" s="1">
        <v>160360</v>
      </c>
    </row>
    <row r="719" spans="4:22" x14ac:dyDescent="0.3">
      <c r="D719" s="2">
        <v>716</v>
      </c>
      <c r="E719" s="2">
        <f>SEARCH("mul",$C$4,E718+1)</f>
        <v>17686</v>
      </c>
      <c r="F719" s="2" t="str">
        <f>MID($C$4,E719,$F$1)</f>
        <v>mul(374,288)~mu</v>
      </c>
      <c r="G719" s="3">
        <f>SEARCH("(",F719)</f>
        <v>4</v>
      </c>
      <c r="H719" s="3">
        <f>SEARCH(",",F719)</f>
        <v>8</v>
      </c>
      <c r="I719" s="3">
        <f>SEARCH(")",F719)</f>
        <v>12</v>
      </c>
      <c r="J719" s="2" t="str">
        <f>IF(OR(ISERROR(G719),ISERROR(H719),ISERROR(I719)),"CORRUPT!","")</f>
        <v/>
      </c>
      <c r="K719" s="2" t="str">
        <f>IF(J719&lt;&gt;"","",MID(F719, G719+1, H719-G719-1))</f>
        <v>374</v>
      </c>
      <c r="L719" s="2">
        <f>IF(J719&lt;&gt;"","",LEN(K719))</f>
        <v>3</v>
      </c>
      <c r="M719" s="2" t="str">
        <f>IF(J719&lt;&gt;"","",MID(F719, H719+1, I719-H719-1))</f>
        <v>288</v>
      </c>
      <c r="N719" s="2">
        <f>IF(J719&lt;&gt;"","",LEN(M719))</f>
        <v>3</v>
      </c>
      <c r="O719" s="2">
        <f>IF(J719&lt;&gt;"","",K719*M719)</f>
        <v>107712</v>
      </c>
      <c r="R719" s="1" t="str">
        <v>449,899)-when()how()what()do()#,{,</v>
      </c>
      <c r="S719" s="1" t="str">
        <v>239,248</v>
      </c>
      <c r="T719" s="1" t="str">
        <v>239</v>
      </c>
      <c r="U719" s="1" t="str">
        <v>248</v>
      </c>
      <c r="V719" s="1">
        <v>59272</v>
      </c>
    </row>
    <row r="720" spans="4:22" x14ac:dyDescent="0.3">
      <c r="D720" s="2">
        <v>717</v>
      </c>
      <c r="E720" s="2">
        <f>SEARCH("mul",$C$4,E719+1)</f>
        <v>17699</v>
      </c>
      <c r="F720" s="2" t="str">
        <f>MID($C$4,E720,$F$1)</f>
        <v>mul(720,106)*~$</v>
      </c>
      <c r="G720" s="3">
        <f>SEARCH("(",F720)</f>
        <v>4</v>
      </c>
      <c r="H720" s="3">
        <f>SEARCH(",",F720)</f>
        <v>8</v>
      </c>
      <c r="I720" s="3">
        <f>SEARCH(")",F720)</f>
        <v>12</v>
      </c>
      <c r="J720" s="2" t="str">
        <f>IF(OR(ISERROR(G720),ISERROR(H720),ISERROR(I720)),"CORRUPT!","")</f>
        <v/>
      </c>
      <c r="K720" s="2" t="str">
        <f>IF(J720&lt;&gt;"","",MID(F720, G720+1, H720-G720-1))</f>
        <v>720</v>
      </c>
      <c r="L720" s="2">
        <f>IF(J720&lt;&gt;"","",LEN(K720))</f>
        <v>3</v>
      </c>
      <c r="M720" s="2" t="str">
        <f>IF(J720&lt;&gt;"","",MID(F720, H720+1, I720-H720-1))</f>
        <v>106</v>
      </c>
      <c r="N720" s="2">
        <f>IF(J720&lt;&gt;"","",LEN(M720))</f>
        <v>3</v>
      </c>
      <c r="O720" s="2">
        <f>IF(J720&lt;&gt;"","",K720*M720)</f>
        <v>76320</v>
      </c>
      <c r="R720" s="1" t="str">
        <v>529,302)?&lt;]'*how()who()*~</v>
      </c>
      <c r="S720" s="1" t="str">
        <v>634,18</v>
      </c>
      <c r="T720" s="1" t="str">
        <v>634</v>
      </c>
      <c r="U720" s="1" t="str">
        <v>18</v>
      </c>
      <c r="V720" s="1">
        <v>11412</v>
      </c>
    </row>
    <row r="721" spans="4:22" x14ac:dyDescent="0.3">
      <c r="D721" s="2">
        <v>718</v>
      </c>
      <c r="E721" s="2">
        <f>SEARCH("mul",$C$4,E720+1)</f>
        <v>17714</v>
      </c>
      <c r="F721" s="2" t="str">
        <f>MID($C$4,E721,$F$1)</f>
        <v>mul(967,879),wh</v>
      </c>
      <c r="G721" s="3">
        <f>SEARCH("(",F721)</f>
        <v>4</v>
      </c>
      <c r="H721" s="3">
        <f>SEARCH(",",F721)</f>
        <v>8</v>
      </c>
      <c r="I721" s="3">
        <f>SEARCH(")",F721)</f>
        <v>12</v>
      </c>
      <c r="J721" s="2" t="str">
        <f>IF(OR(ISERROR(G721),ISERROR(H721),ISERROR(I721)),"CORRUPT!","")</f>
        <v/>
      </c>
      <c r="K721" s="2" t="str">
        <f>IF(J721&lt;&gt;"","",MID(F721, G721+1, H721-G721-1))</f>
        <v>967</v>
      </c>
      <c r="L721" s="2">
        <f>IF(J721&lt;&gt;"","",LEN(K721))</f>
        <v>3</v>
      </c>
      <c r="M721" s="2" t="str">
        <f>IF(J721&lt;&gt;"","",MID(F721, H721+1, I721-H721-1))</f>
        <v>879</v>
      </c>
      <c r="N721" s="2">
        <f>IF(J721&lt;&gt;"","",LEN(M721))</f>
        <v>3</v>
      </c>
      <c r="O721" s="2">
        <f>IF(J721&lt;&gt;"","",K721*M721)</f>
        <v>849993</v>
      </c>
      <c r="R721" s="1" t="str">
        <v>382,944)</v>
      </c>
      <c r="S721" s="1" t="str">
        <v>501,317</v>
      </c>
      <c r="T721" s="1" t="str">
        <v>501</v>
      </c>
      <c r="U721" s="1" t="str">
        <v>317</v>
      </c>
      <c r="V721" s="1">
        <v>158817</v>
      </c>
    </row>
    <row r="722" spans="4:22" x14ac:dyDescent="0.3">
      <c r="D722" s="2">
        <v>719</v>
      </c>
      <c r="E722" s="2">
        <f>SEARCH("mul",$C$4,E721+1)</f>
        <v>17750</v>
      </c>
      <c r="F722" s="2" t="str">
        <f>MID($C$4,E722,$F$1)</f>
        <v>mul(81,187)mul(</v>
      </c>
      <c r="G722" s="3">
        <f>SEARCH("(",F722)</f>
        <v>4</v>
      </c>
      <c r="H722" s="3">
        <f>SEARCH(",",F722)</f>
        <v>7</v>
      </c>
      <c r="I722" s="3">
        <f>SEARCH(")",F722)</f>
        <v>11</v>
      </c>
      <c r="J722" s="2" t="str">
        <f>IF(OR(ISERROR(G722),ISERROR(H722),ISERROR(I722)),"CORRUPT!","")</f>
        <v/>
      </c>
      <c r="K722" s="2" t="str">
        <f>IF(J722&lt;&gt;"","",MID(F722, G722+1, H722-G722-1))</f>
        <v>81</v>
      </c>
      <c r="L722" s="2">
        <f>IF(J722&lt;&gt;"","",LEN(K722))</f>
        <v>2</v>
      </c>
      <c r="M722" s="2" t="str">
        <f>IF(J722&lt;&gt;"","",MID(F722, H722+1, I722-H722-1))</f>
        <v>187</v>
      </c>
      <c r="N722" s="2">
        <f>IF(J722&lt;&gt;"","",LEN(M722))</f>
        <v>3</v>
      </c>
      <c r="O722" s="2">
        <f>IF(J722&lt;&gt;"","",K722*M722)</f>
        <v>15147</v>
      </c>
      <c r="R722" s="1" t="str">
        <v>348,909),]/</v>
      </c>
      <c r="S722" s="1" t="str">
        <v>736,662</v>
      </c>
      <c r="T722" s="1" t="str">
        <v>736</v>
      </c>
      <c r="U722" s="1" t="str">
        <v>662</v>
      </c>
      <c r="V722" s="1">
        <v>487232</v>
      </c>
    </row>
    <row r="723" spans="4:22" x14ac:dyDescent="0.3">
      <c r="D723" s="2">
        <v>720</v>
      </c>
      <c r="E723" s="2">
        <f>SEARCH("mul",$C$4,E722+1)</f>
        <v>17761</v>
      </c>
      <c r="F723" s="2" t="str">
        <f>MID($C$4,E723,$F$1)</f>
        <v>mul(368,22);];&lt;</v>
      </c>
      <c r="G723" s="3">
        <f>SEARCH("(",F723)</f>
        <v>4</v>
      </c>
      <c r="H723" s="3">
        <f>SEARCH(",",F723)</f>
        <v>8</v>
      </c>
      <c r="I723" s="3">
        <f>SEARCH(")",F723)</f>
        <v>11</v>
      </c>
      <c r="J723" s="2" t="str">
        <f>IF(OR(ISERROR(G723),ISERROR(H723),ISERROR(I723)),"CORRUPT!","")</f>
        <v/>
      </c>
      <c r="K723" s="2" t="str">
        <f>IF(J723&lt;&gt;"","",MID(F723, G723+1, H723-G723-1))</f>
        <v>368</v>
      </c>
      <c r="L723" s="2">
        <f>IF(J723&lt;&gt;"","",LEN(K723))</f>
        <v>3</v>
      </c>
      <c r="M723" s="2" t="str">
        <f>IF(J723&lt;&gt;"","",MID(F723, H723+1, I723-H723-1))</f>
        <v>22</v>
      </c>
      <c r="N723" s="2">
        <f>IF(J723&lt;&gt;"","",LEN(M723))</f>
        <v>2</v>
      </c>
      <c r="O723" s="2">
        <f>IF(J723&lt;&gt;"","",K723*M723)</f>
        <v>8096</v>
      </c>
      <c r="R723" s="1" t="str">
        <v>595,427)-:</v>
      </c>
      <c r="S723" s="1" t="str">
        <v>297,910</v>
      </c>
      <c r="T723" s="1" t="str">
        <v>297</v>
      </c>
      <c r="U723" s="1" t="str">
        <v>910</v>
      </c>
      <c r="V723" s="1">
        <v>270270</v>
      </c>
    </row>
    <row r="724" spans="4:22" x14ac:dyDescent="0.3">
      <c r="D724" s="2">
        <v>721</v>
      </c>
      <c r="E724" s="2">
        <f>SEARCH("mul",$C$4,E723+1)</f>
        <v>17781</v>
      </c>
      <c r="F724" s="2" t="str">
        <f>MID($C$4,E724,$F$1)</f>
        <v>mul(882,60)#sel</v>
      </c>
      <c r="G724" s="3">
        <f>SEARCH("(",F724)</f>
        <v>4</v>
      </c>
      <c r="H724" s="3">
        <f>SEARCH(",",F724)</f>
        <v>8</v>
      </c>
      <c r="I724" s="3">
        <f>SEARCH(")",F724)</f>
        <v>11</v>
      </c>
      <c r="J724" s="2" t="str">
        <f>IF(OR(ISERROR(G724),ISERROR(H724),ISERROR(I724)),"CORRUPT!","")</f>
        <v/>
      </c>
      <c r="K724" s="2" t="str">
        <f>IF(J724&lt;&gt;"","",MID(F724, G724+1, H724-G724-1))</f>
        <v>882</v>
      </c>
      <c r="L724" s="2">
        <f>IF(J724&lt;&gt;"","",LEN(K724))</f>
        <v>3</v>
      </c>
      <c r="M724" s="2" t="str">
        <f>IF(J724&lt;&gt;"","",MID(F724, H724+1, I724-H724-1))</f>
        <v>60</v>
      </c>
      <c r="N724" s="2">
        <f>IF(J724&lt;&gt;"","",LEN(M724))</f>
        <v>2</v>
      </c>
      <c r="O724" s="2">
        <f>IF(J724&lt;&gt;"","",K724*M724)</f>
        <v>52920</v>
      </c>
      <c r="R724" s="1" t="str">
        <v>896,889);-)&lt;</v>
      </c>
      <c r="S724" s="1" t="str">
        <v>353,117</v>
      </c>
      <c r="T724" s="1" t="str">
        <v>353</v>
      </c>
      <c r="U724" s="1" t="str">
        <v>117</v>
      </c>
      <c r="V724" s="1">
        <v>41301</v>
      </c>
    </row>
    <row r="725" spans="4:22" x14ac:dyDescent="0.3">
      <c r="D725" s="2">
        <v>722</v>
      </c>
      <c r="E725" s="2">
        <f>SEARCH("mul",$C$4,E724+1)</f>
        <v>17807</v>
      </c>
      <c r="F725" s="2" t="str">
        <f>MID($C$4,E725,$F$1)</f>
        <v>mul(144,567);wh</v>
      </c>
      <c r="G725" s="3">
        <f>SEARCH("(",F725)</f>
        <v>4</v>
      </c>
      <c r="H725" s="3">
        <f>SEARCH(",",F725)</f>
        <v>8</v>
      </c>
      <c r="I725" s="3">
        <f>SEARCH(")",F725)</f>
        <v>12</v>
      </c>
      <c r="J725" s="2" t="str">
        <f>IF(OR(ISERROR(G725),ISERROR(H725),ISERROR(I725)),"CORRUPT!","")</f>
        <v/>
      </c>
      <c r="K725" s="2" t="str">
        <f>IF(J725&lt;&gt;"","",MID(F725, G725+1, H725-G725-1))</f>
        <v>144</v>
      </c>
      <c r="L725" s="2">
        <f>IF(J725&lt;&gt;"","",LEN(K725))</f>
        <v>3</v>
      </c>
      <c r="M725" s="2" t="str">
        <f>IF(J725&lt;&gt;"","",MID(F725, H725+1, I725-H725-1))</f>
        <v>567</v>
      </c>
      <c r="N725" s="2">
        <f>IF(J725&lt;&gt;"","",LEN(M725))</f>
        <v>3</v>
      </c>
      <c r="O725" s="2">
        <f>IF(J725&lt;&gt;"","",K725*M725)</f>
        <v>81648</v>
      </c>
      <c r="R725" s="1" t="str">
        <v>212,114)[}what()#how()</v>
      </c>
      <c r="S725" s="1" t="str">
        <v>799,639</v>
      </c>
      <c r="T725" s="1" t="str">
        <v>799</v>
      </c>
      <c r="U725" s="1" t="str">
        <v>639</v>
      </c>
      <c r="V725" s="1">
        <v>510561</v>
      </c>
    </row>
    <row r="726" spans="4:22" x14ac:dyDescent="0.3">
      <c r="D726" s="2">
        <v>723</v>
      </c>
      <c r="E726" s="2">
        <f>SEARCH("mul",$C$4,E725+1)</f>
        <v>17847</v>
      </c>
      <c r="F726" s="2" t="str">
        <f>MID($C$4,E726,$F$1)</f>
        <v>mul(608,319)(mu</v>
      </c>
      <c r="G726" s="3">
        <f>SEARCH("(",F726)</f>
        <v>4</v>
      </c>
      <c r="H726" s="3">
        <f>SEARCH(",",F726)</f>
        <v>8</v>
      </c>
      <c r="I726" s="3">
        <f>SEARCH(")",F726)</f>
        <v>12</v>
      </c>
      <c r="J726" s="2" t="str">
        <f>IF(OR(ISERROR(G726),ISERROR(H726),ISERROR(I726)),"CORRUPT!","")</f>
        <v/>
      </c>
      <c r="K726" s="2" t="str">
        <f>IF(J726&lt;&gt;"","",MID(F726, G726+1, H726-G726-1))</f>
        <v>608</v>
      </c>
      <c r="L726" s="2">
        <f>IF(J726&lt;&gt;"","",LEN(K726))</f>
        <v>3</v>
      </c>
      <c r="M726" s="2" t="str">
        <f>IF(J726&lt;&gt;"","",MID(F726, H726+1, I726-H726-1))</f>
        <v>319</v>
      </c>
      <c r="N726" s="2">
        <f>IF(J726&lt;&gt;"","",LEN(M726))</f>
        <v>3</v>
      </c>
      <c r="O726" s="2">
        <f>IF(J726&lt;&gt;"","",K726*M726)</f>
        <v>193952</v>
      </c>
      <c r="R726" s="1" t="str">
        <v>796,319)from()who()</v>
      </c>
      <c r="S726" s="1" t="str">
        <v>495,249</v>
      </c>
      <c r="T726" s="1" t="str">
        <v>495</v>
      </c>
      <c r="U726" s="1" t="str">
        <v>249</v>
      </c>
      <c r="V726" s="1">
        <v>123255</v>
      </c>
    </row>
    <row r="727" spans="4:22" x14ac:dyDescent="0.3">
      <c r="D727" s="2">
        <v>724</v>
      </c>
      <c r="E727" s="2">
        <f>SEARCH("mul",$C$4,E726+1)</f>
        <v>17860</v>
      </c>
      <c r="F727" s="2" t="str">
        <f>MID($C$4,E727,$F$1)</f>
        <v>mul(225,187)%%(</v>
      </c>
      <c r="G727" s="3">
        <f>SEARCH("(",F727)</f>
        <v>4</v>
      </c>
      <c r="H727" s="3">
        <f>SEARCH(",",F727)</f>
        <v>8</v>
      </c>
      <c r="I727" s="3">
        <f>SEARCH(")",F727)</f>
        <v>12</v>
      </c>
      <c r="J727" s="2" t="str">
        <f>IF(OR(ISERROR(G727),ISERROR(H727),ISERROR(I727)),"CORRUPT!","")</f>
        <v/>
      </c>
      <c r="K727" s="2" t="str">
        <f>IF(J727&lt;&gt;"","",MID(F727, G727+1, H727-G727-1))</f>
        <v>225</v>
      </c>
      <c r="L727" s="2">
        <f>IF(J727&lt;&gt;"","",LEN(K727))</f>
        <v>3</v>
      </c>
      <c r="M727" s="2" t="str">
        <f>IF(J727&lt;&gt;"","",MID(F727, H727+1, I727-H727-1))</f>
        <v>187</v>
      </c>
      <c r="N727" s="2">
        <f>IF(J727&lt;&gt;"","",LEN(M727))</f>
        <v>3</v>
      </c>
      <c r="O727" s="2">
        <f>IF(J727&lt;&gt;"","",K727*M727)</f>
        <v>42075</v>
      </c>
      <c r="R727" s="1" t="str">
        <v>161,245),</v>
      </c>
      <c r="S727" s="1" t="str">
        <v>79,846</v>
      </c>
      <c r="T727" s="1" t="str">
        <v>79</v>
      </c>
      <c r="U727" s="1" t="str">
        <v>846</v>
      </c>
      <c r="V727" s="1">
        <v>66834</v>
      </c>
    </row>
    <row r="728" spans="4:22" x14ac:dyDescent="0.3">
      <c r="D728" s="2">
        <v>725</v>
      </c>
      <c r="E728" s="2">
        <f>SEARCH("mul",$C$4,E727+1)</f>
        <v>17889</v>
      </c>
      <c r="F728" s="2" t="str">
        <f>MID($C$4,E728,$F$1)</f>
        <v>mul(130,278)!se</v>
      </c>
      <c r="G728" s="3">
        <f>SEARCH("(",F728)</f>
        <v>4</v>
      </c>
      <c r="H728" s="3">
        <f>SEARCH(",",F728)</f>
        <v>8</v>
      </c>
      <c r="I728" s="3">
        <f>SEARCH(")",F728)</f>
        <v>12</v>
      </c>
      <c r="J728" s="2" t="str">
        <f>IF(OR(ISERROR(G728),ISERROR(H728),ISERROR(I728)),"CORRUPT!","")</f>
        <v/>
      </c>
      <c r="K728" s="2" t="str">
        <f>IF(J728&lt;&gt;"","",MID(F728, G728+1, H728-G728-1))</f>
        <v>130</v>
      </c>
      <c r="L728" s="2">
        <f>IF(J728&lt;&gt;"","",LEN(K728))</f>
        <v>3</v>
      </c>
      <c r="M728" s="2" t="str">
        <f>IF(J728&lt;&gt;"","",MID(F728, H728+1, I728-H728-1))</f>
        <v>278</v>
      </c>
      <c r="N728" s="2">
        <f>IF(J728&lt;&gt;"","",LEN(M728))</f>
        <v>3</v>
      </c>
      <c r="O728" s="2">
        <f>IF(J728&lt;&gt;"","",K728*M728)</f>
        <v>36140</v>
      </c>
      <c r="R728" s="1" t="str">
        <v>211,760)]*&lt;+]where()</v>
      </c>
      <c r="S728" s="1" t="str">
        <v>317,217</v>
      </c>
      <c r="T728" s="1" t="str">
        <v>317</v>
      </c>
      <c r="U728" s="1" t="str">
        <v>217</v>
      </c>
      <c r="V728" s="1">
        <v>68789</v>
      </c>
    </row>
    <row r="729" spans="4:22" x14ac:dyDescent="0.3">
      <c r="D729" s="2">
        <v>726</v>
      </c>
      <c r="E729" s="2">
        <f>SEARCH("mul",$C$4,E728+1)</f>
        <v>17925</v>
      </c>
      <c r="F729" s="2" t="str">
        <f>MID($C$4,E729,$F$1)</f>
        <v>mul(348,92):fro</v>
      </c>
      <c r="G729" s="3">
        <f>SEARCH("(",F729)</f>
        <v>4</v>
      </c>
      <c r="H729" s="3">
        <f>SEARCH(",",F729)</f>
        <v>8</v>
      </c>
      <c r="I729" s="3">
        <f>SEARCH(")",F729)</f>
        <v>11</v>
      </c>
      <c r="J729" s="2" t="str">
        <f>IF(OR(ISERROR(G729),ISERROR(H729),ISERROR(I729)),"CORRUPT!","")</f>
        <v/>
      </c>
      <c r="K729" s="2" t="str">
        <f>IF(J729&lt;&gt;"","",MID(F729, G729+1, H729-G729-1))</f>
        <v>348</v>
      </c>
      <c r="L729" s="2">
        <f>IF(J729&lt;&gt;"","",LEN(K729))</f>
        <v>3</v>
      </c>
      <c r="M729" s="2" t="str">
        <f>IF(J729&lt;&gt;"","",MID(F729, H729+1, I729-H729-1))</f>
        <v>92</v>
      </c>
      <c r="N729" s="2">
        <f>IF(J729&lt;&gt;"","",LEN(M729))</f>
        <v>2</v>
      </c>
      <c r="O729" s="2">
        <f>IF(J729&lt;&gt;"","",K729*M729)</f>
        <v>32016</v>
      </c>
      <c r="R729" s="1" t="str">
        <v>239,248)%</v>
      </c>
      <c r="S729" s="1" t="str">
        <v>699,367</v>
      </c>
      <c r="T729" s="1" t="str">
        <v>699</v>
      </c>
      <c r="U729" s="1" t="str">
        <v>367</v>
      </c>
      <c r="V729" s="1">
        <v>256533</v>
      </c>
    </row>
    <row r="730" spans="4:22" x14ac:dyDescent="0.3">
      <c r="D730" s="2">
        <v>727</v>
      </c>
      <c r="E730" s="2">
        <f>SEARCH("mul",$C$4,E729+1)</f>
        <v>17944</v>
      </c>
      <c r="F730" s="2" t="str">
        <f>MID($C$4,E730,$F$1)</f>
        <v>mul(483,262)don</v>
      </c>
      <c r="G730" s="3">
        <f>SEARCH("(",F730)</f>
        <v>4</v>
      </c>
      <c r="H730" s="3">
        <f>SEARCH(",",F730)</f>
        <v>8</v>
      </c>
      <c r="I730" s="3">
        <f>SEARCH(")",F730)</f>
        <v>12</v>
      </c>
      <c r="J730" s="2" t="str">
        <f>IF(OR(ISERROR(G730),ISERROR(H730),ISERROR(I730)),"CORRUPT!","")</f>
        <v/>
      </c>
      <c r="K730" s="2" t="str">
        <f>IF(J730&lt;&gt;"","",MID(F730, G730+1, H730-G730-1))</f>
        <v>483</v>
      </c>
      <c r="L730" s="2">
        <f>IF(J730&lt;&gt;"","",LEN(K730))</f>
        <v>3</v>
      </c>
      <c r="M730" s="2" t="str">
        <f>IF(J730&lt;&gt;"","",MID(F730, H730+1, I730-H730-1))</f>
        <v>262</v>
      </c>
      <c r="N730" s="2">
        <f>IF(J730&lt;&gt;"","",LEN(M730))</f>
        <v>3</v>
      </c>
      <c r="O730" s="2">
        <f>IF(J730&lt;&gt;"","",K730*M730)</f>
        <v>126546</v>
      </c>
      <c r="R730" s="1" t="str">
        <v>634,18)</v>
      </c>
      <c r="S730" s="1" t="str">
        <v>390,121</v>
      </c>
      <c r="T730" s="1" t="str">
        <v>390</v>
      </c>
      <c r="U730" s="1" t="str">
        <v>121</v>
      </c>
      <c r="V730" s="1">
        <v>47190</v>
      </c>
    </row>
    <row r="731" spans="4:22" x14ac:dyDescent="0.3">
      <c r="D731" s="2">
        <v>728</v>
      </c>
      <c r="E731" s="2">
        <f>SEARCH("mul",$C$4,E730+1)</f>
        <v>17969</v>
      </c>
      <c r="F731" s="2" t="str">
        <f>MID($C$4,E731,$F$1)</f>
        <v>mul(500,537)%(w</v>
      </c>
      <c r="G731" s="3">
        <f>SEARCH("(",F731)</f>
        <v>4</v>
      </c>
      <c r="H731" s="3">
        <f>SEARCH(",",F731)</f>
        <v>8</v>
      </c>
      <c r="I731" s="3">
        <f>SEARCH(")",F731)</f>
        <v>12</v>
      </c>
      <c r="J731" s="2" t="str">
        <f>IF(OR(ISERROR(G731),ISERROR(H731),ISERROR(I731)),"CORRUPT!","")</f>
        <v/>
      </c>
      <c r="K731" s="2" t="str">
        <f>IF(J731&lt;&gt;"","",MID(F731, G731+1, H731-G731-1))</f>
        <v>500</v>
      </c>
      <c r="L731" s="2">
        <f>IF(J731&lt;&gt;"","",LEN(K731))</f>
        <v>3</v>
      </c>
      <c r="M731" s="2" t="str">
        <f>IF(J731&lt;&gt;"","",MID(F731, H731+1, I731-H731-1))</f>
        <v>537</v>
      </c>
      <c r="N731" s="2">
        <f>IF(J731&lt;&gt;"","",LEN(M731))</f>
        <v>3</v>
      </c>
      <c r="O731" s="2">
        <f>IF(J731&lt;&gt;"","",K731*M731)</f>
        <v>268500</v>
      </c>
      <c r="R731" s="1" t="str">
        <v>501,317)why()#[who(542,47)what()*who()~,$do()}} where()*~[when(696,90)~when()</v>
      </c>
      <c r="S731" s="1" t="str">
        <v>768,867</v>
      </c>
      <c r="T731" s="1" t="str">
        <v>768</v>
      </c>
      <c r="U731" s="1" t="str">
        <v>867</v>
      </c>
      <c r="V731" s="1">
        <v>665856</v>
      </c>
    </row>
    <row r="732" spans="4:22" x14ac:dyDescent="0.3">
      <c r="D732" s="2">
        <v>729</v>
      </c>
      <c r="E732" s="2">
        <f>SEARCH("mul",$C$4,E731+1)</f>
        <v>18031</v>
      </c>
      <c r="F732" s="2" t="str">
        <f>MID($C$4,E732,$F$1)</f>
        <v>mul(118,729)+;[</v>
      </c>
      <c r="G732" s="3">
        <f>SEARCH("(",F732)</f>
        <v>4</v>
      </c>
      <c r="H732" s="3">
        <f>SEARCH(",",F732)</f>
        <v>8</v>
      </c>
      <c r="I732" s="3">
        <f>SEARCH(")",F732)</f>
        <v>12</v>
      </c>
      <c r="J732" s="2" t="str">
        <f>IF(OR(ISERROR(G732),ISERROR(H732),ISERROR(I732)),"CORRUPT!","")</f>
        <v/>
      </c>
      <c r="K732" s="2" t="str">
        <f>IF(J732&lt;&gt;"","",MID(F732, G732+1, H732-G732-1))</f>
        <v>118</v>
      </c>
      <c r="L732" s="2">
        <f>IF(J732&lt;&gt;"","",LEN(K732))</f>
        <v>3</v>
      </c>
      <c r="M732" s="2" t="str">
        <f>IF(J732&lt;&gt;"","",MID(F732, H732+1, I732-H732-1))</f>
        <v>729</v>
      </c>
      <c r="N732" s="2">
        <f>IF(J732&lt;&gt;"","",LEN(M732))</f>
        <v>3</v>
      </c>
      <c r="O732" s="2">
        <f>IF(J732&lt;&gt;"","",K732*M732)</f>
        <v>86022</v>
      </c>
      <c r="R732" s="1" t="str">
        <v>736,662)*%-$select()-$who()/</v>
      </c>
      <c r="S732" s="1" t="str">
        <v>305,695</v>
      </c>
      <c r="T732" s="1" t="str">
        <v>305</v>
      </c>
      <c r="U732" s="1" t="str">
        <v>695</v>
      </c>
      <c r="V732" s="1">
        <v>211975</v>
      </c>
    </row>
    <row r="733" spans="4:22" x14ac:dyDescent="0.3">
      <c r="D733" s="2">
        <v>730</v>
      </c>
      <c r="E733" s="2">
        <f>SEARCH("mul",$C$4,E732+1)</f>
        <v>18054</v>
      </c>
      <c r="F733" s="2" t="str">
        <f>MID($C$4,E733,$F$1)</f>
        <v>mul(155,535)}fr</v>
      </c>
      <c r="G733" s="3">
        <f>SEARCH("(",F733)</f>
        <v>4</v>
      </c>
      <c r="H733" s="3">
        <f>SEARCH(",",F733)</f>
        <v>8</v>
      </c>
      <c r="I733" s="3">
        <f>SEARCH(")",F733)</f>
        <v>12</v>
      </c>
      <c r="J733" s="2" t="str">
        <f>IF(OR(ISERROR(G733),ISERROR(H733),ISERROR(I733)),"CORRUPT!","")</f>
        <v/>
      </c>
      <c r="K733" s="2" t="str">
        <f>IF(J733&lt;&gt;"","",MID(F733, G733+1, H733-G733-1))</f>
        <v>155</v>
      </c>
      <c r="L733" s="2">
        <f>IF(J733&lt;&gt;"","",LEN(K733))</f>
        <v>3</v>
      </c>
      <c r="M733" s="2" t="str">
        <f>IF(J733&lt;&gt;"","",MID(F733, H733+1, I733-H733-1))</f>
        <v>535</v>
      </c>
      <c r="N733" s="2">
        <f>IF(J733&lt;&gt;"","",LEN(M733))</f>
        <v>3</v>
      </c>
      <c r="O733" s="2">
        <f>IF(J733&lt;&gt;"","",K733*M733)</f>
        <v>82925</v>
      </c>
      <c r="R733" s="1" t="str">
        <v>297,910) when()(when()&gt;'@</v>
      </c>
      <c r="S733" s="1" t="str">
        <v>748,367</v>
      </c>
      <c r="T733" s="1" t="str">
        <v>748</v>
      </c>
      <c r="U733" s="1" t="str">
        <v>367</v>
      </c>
      <c r="V733" s="1">
        <v>274516</v>
      </c>
    </row>
    <row r="734" spans="4:22" x14ac:dyDescent="0.3">
      <c r="D734" s="2">
        <v>731</v>
      </c>
      <c r="E734" s="2">
        <f>SEARCH("mul",$C$4,E733+1)</f>
        <v>18091</v>
      </c>
      <c r="F734" s="2" t="str">
        <f>MID($C$4,E734,$F$1)</f>
        <v>mul(685,187))*d</v>
      </c>
      <c r="G734" s="3">
        <f>SEARCH("(",F734)</f>
        <v>4</v>
      </c>
      <c r="H734" s="3">
        <f>SEARCH(",",F734)</f>
        <v>8</v>
      </c>
      <c r="I734" s="3">
        <f>SEARCH(")",F734)</f>
        <v>12</v>
      </c>
      <c r="J734" s="2" t="str">
        <f>IF(OR(ISERROR(G734),ISERROR(H734),ISERROR(I734)),"CORRUPT!","")</f>
        <v/>
      </c>
      <c r="K734" s="2" t="str">
        <f>IF(J734&lt;&gt;"","",MID(F734, G734+1, H734-G734-1))</f>
        <v>685</v>
      </c>
      <c r="L734" s="2">
        <f>IF(J734&lt;&gt;"","",LEN(K734))</f>
        <v>3</v>
      </c>
      <c r="M734" s="2" t="str">
        <f>IF(J734&lt;&gt;"","",MID(F734, H734+1, I734-H734-1))</f>
        <v>187</v>
      </c>
      <c r="N734" s="2">
        <f>IF(J734&lt;&gt;"","",LEN(M734))</f>
        <v>3</v>
      </c>
      <c r="O734" s="2">
        <f>IF(J734&lt;&gt;"","",K734*M734)</f>
        <v>128095</v>
      </c>
      <c r="R734" s="1" t="str">
        <v>353,117)]%'-^/?^</v>
      </c>
      <c r="S734" s="1" t="str">
        <v>643,18</v>
      </c>
      <c r="T734" s="1" t="str">
        <v>643</v>
      </c>
      <c r="U734" s="1" t="str">
        <v>18</v>
      </c>
      <c r="V734" s="1">
        <v>11574</v>
      </c>
    </row>
    <row r="735" spans="4:22" x14ac:dyDescent="0.3">
      <c r="D735" s="2">
        <v>732</v>
      </c>
      <c r="E735" s="2">
        <f>SEARCH("mul",$C$4,E734+1)</f>
        <v>18122</v>
      </c>
      <c r="F735" s="2" t="str">
        <f>MID($C$4,E735,$F$1)</f>
        <v>mul(174,160)&amp;+~</v>
      </c>
      <c r="G735" s="3">
        <f>SEARCH("(",F735)</f>
        <v>4</v>
      </c>
      <c r="H735" s="3">
        <f>SEARCH(",",F735)</f>
        <v>8</v>
      </c>
      <c r="I735" s="3">
        <f>SEARCH(")",F735)</f>
        <v>12</v>
      </c>
      <c r="J735" s="2" t="str">
        <f>IF(OR(ISERROR(G735),ISERROR(H735),ISERROR(I735)),"CORRUPT!","")</f>
        <v/>
      </c>
      <c r="K735" s="2" t="str">
        <f>IF(J735&lt;&gt;"","",MID(F735, G735+1, H735-G735-1))</f>
        <v>174</v>
      </c>
      <c r="L735" s="2">
        <f>IF(J735&lt;&gt;"","",LEN(K735))</f>
        <v>3</v>
      </c>
      <c r="M735" s="2" t="str">
        <f>IF(J735&lt;&gt;"","",MID(F735, H735+1, I735-H735-1))</f>
        <v>160</v>
      </c>
      <c r="N735" s="2">
        <f>IF(J735&lt;&gt;"","",LEN(M735))</f>
        <v>3</v>
      </c>
      <c r="O735" s="2">
        <f>IF(J735&lt;&gt;"","",K735*M735)</f>
        <v>27840</v>
      </c>
      <c r="R735" s="1" t="str">
        <v>799,639)who()}-[&gt;</v>
      </c>
      <c r="S735" s="1" t="str">
        <v>343,964</v>
      </c>
      <c r="T735" s="1" t="str">
        <v>343</v>
      </c>
      <c r="U735" s="1" t="str">
        <v>964</v>
      </c>
      <c r="V735" s="1">
        <v>330652</v>
      </c>
    </row>
    <row r="736" spans="4:22" x14ac:dyDescent="0.3">
      <c r="D736" s="2">
        <v>733</v>
      </c>
      <c r="E736" s="2">
        <f>SEARCH("mul",$C$4,E735+1)</f>
        <v>18138</v>
      </c>
      <c r="F736" s="2" t="str">
        <f>MID($C$4,E736,$F$1)</f>
        <v>mul(100,237)&lt;mu</v>
      </c>
      <c r="G736" s="3">
        <f>SEARCH("(",F736)</f>
        <v>4</v>
      </c>
      <c r="H736" s="3">
        <f>SEARCH(",",F736)</f>
        <v>8</v>
      </c>
      <c r="I736" s="3">
        <f>SEARCH(")",F736)</f>
        <v>12</v>
      </c>
      <c r="J736" s="2" t="str">
        <f>IF(OR(ISERROR(G736),ISERROR(H736),ISERROR(I736)),"CORRUPT!","")</f>
        <v/>
      </c>
      <c r="K736" s="2" t="str">
        <f>IF(J736&lt;&gt;"","",MID(F736, G736+1, H736-G736-1))</f>
        <v>100</v>
      </c>
      <c r="L736" s="2">
        <f>IF(J736&lt;&gt;"","",LEN(K736))</f>
        <v>3</v>
      </c>
      <c r="M736" s="2" t="str">
        <f>IF(J736&lt;&gt;"","",MID(F736, H736+1, I736-H736-1))</f>
        <v>237</v>
      </c>
      <c r="N736" s="2">
        <f>IF(J736&lt;&gt;"","",LEN(M736))</f>
        <v>3</v>
      </c>
      <c r="O736" s="2">
        <f>IF(J736&lt;&gt;"","",K736*M736)</f>
        <v>23700</v>
      </c>
      <c r="R736" s="1" t="str">
        <v>495,249)where()*,&lt;</v>
      </c>
      <c r="S736" s="1" t="str">
        <v>287,548</v>
      </c>
      <c r="T736" s="1" t="str">
        <v>287</v>
      </c>
      <c r="U736" s="1" t="str">
        <v>548</v>
      </c>
      <c r="V736" s="1">
        <v>157276</v>
      </c>
    </row>
    <row r="737" spans="4:22" x14ac:dyDescent="0.3">
      <c r="D737" s="2">
        <v>734</v>
      </c>
      <c r="E737" s="2">
        <f>SEARCH("mul",$C$4,E736+1)</f>
        <v>18151</v>
      </c>
      <c r="F737" s="2" t="str">
        <f>MID($C$4,E737,$F$1)</f>
        <v>mul(234,939)mul</v>
      </c>
      <c r="G737" s="3">
        <f>SEARCH("(",F737)</f>
        <v>4</v>
      </c>
      <c r="H737" s="3">
        <f>SEARCH(",",F737)</f>
        <v>8</v>
      </c>
      <c r="I737" s="3">
        <f>SEARCH(")",F737)</f>
        <v>12</v>
      </c>
      <c r="J737" s="2" t="str">
        <f>IF(OR(ISERROR(G737),ISERROR(H737),ISERROR(I737)),"CORRUPT!","")</f>
        <v/>
      </c>
      <c r="K737" s="2" t="str">
        <f>IF(J737&lt;&gt;"","",MID(F737, G737+1, H737-G737-1))</f>
        <v>234</v>
      </c>
      <c r="L737" s="2">
        <f>IF(J737&lt;&gt;"","",LEN(K737))</f>
        <v>3</v>
      </c>
      <c r="M737" s="2" t="str">
        <f>IF(J737&lt;&gt;"","",MID(F737, H737+1, I737-H737-1))</f>
        <v>939</v>
      </c>
      <c r="N737" s="2">
        <f>IF(J737&lt;&gt;"","",LEN(M737))</f>
        <v>3</v>
      </c>
      <c r="O737" s="2">
        <f>IF(J737&lt;&gt;"","",K737*M737)</f>
        <v>219726</v>
      </c>
      <c r="R737" s="1" t="str">
        <v>79,846)how();</v>
      </c>
      <c r="S737" s="1" t="str">
        <v>97,411</v>
      </c>
      <c r="T737" s="1" t="str">
        <v>97</v>
      </c>
      <c r="U737" s="1" t="str">
        <v>411</v>
      </c>
      <c r="V737" s="1">
        <v>39867</v>
      </c>
    </row>
    <row r="738" spans="4:22" x14ac:dyDescent="0.3">
      <c r="D738" s="2">
        <v>735</v>
      </c>
      <c r="E738" s="2">
        <f>SEARCH("mul",$C$4,E737+1)</f>
        <v>18163</v>
      </c>
      <c r="F738" s="2" t="str">
        <f>MID($C$4,E738,$F$1)</f>
        <v>mul(328,456)mul</v>
      </c>
      <c r="G738" s="3">
        <f>SEARCH("(",F738)</f>
        <v>4</v>
      </c>
      <c r="H738" s="3">
        <f>SEARCH(",",F738)</f>
        <v>8</v>
      </c>
      <c r="I738" s="3">
        <f>SEARCH(")",F738)</f>
        <v>12</v>
      </c>
      <c r="J738" s="2" t="str">
        <f>IF(OR(ISERROR(G738),ISERROR(H738),ISERROR(I738)),"CORRUPT!","")</f>
        <v/>
      </c>
      <c r="K738" s="2" t="str">
        <f>IF(J738&lt;&gt;"","",MID(F738, G738+1, H738-G738-1))</f>
        <v>328</v>
      </c>
      <c r="L738" s="2">
        <f>IF(J738&lt;&gt;"","",LEN(K738))</f>
        <v>3</v>
      </c>
      <c r="M738" s="2" t="str">
        <f>IF(J738&lt;&gt;"","",MID(F738, H738+1, I738-H738-1))</f>
        <v>456</v>
      </c>
      <c r="N738" s="2">
        <f>IF(J738&lt;&gt;"","",LEN(M738))</f>
        <v>3</v>
      </c>
      <c r="O738" s="2">
        <f>IF(J738&lt;&gt;"","",K738*M738)</f>
        <v>149568</v>
      </c>
      <c r="R738" s="1" t="str">
        <v>317,217)/</v>
      </c>
      <c r="S738" s="1" t="str">
        <v>105,759</v>
      </c>
      <c r="T738" s="1" t="str">
        <v>105</v>
      </c>
      <c r="U738" s="1" t="str">
        <v>759</v>
      </c>
      <c r="V738" s="1">
        <v>79695</v>
      </c>
    </row>
    <row r="739" spans="4:22" x14ac:dyDescent="0.3">
      <c r="D739" s="2">
        <v>736</v>
      </c>
      <c r="E739" s="2">
        <f>SEARCH("mul",$C$4,E738+1)</f>
        <v>18175</v>
      </c>
      <c r="F739" s="2" t="str">
        <f>MID($C$4,E739,$F$1)</f>
        <v>mul(427,653))wh</v>
      </c>
      <c r="G739" s="3">
        <f>SEARCH("(",F739)</f>
        <v>4</v>
      </c>
      <c r="H739" s="3">
        <f>SEARCH(",",F739)</f>
        <v>8</v>
      </c>
      <c r="I739" s="3">
        <f>SEARCH(")",F739)</f>
        <v>12</v>
      </c>
      <c r="J739" s="2" t="str">
        <f>IF(OR(ISERROR(G739),ISERROR(H739),ISERROR(I739)),"CORRUPT!","")</f>
        <v/>
      </c>
      <c r="K739" s="2" t="str">
        <f>IF(J739&lt;&gt;"","",MID(F739, G739+1, H739-G739-1))</f>
        <v>427</v>
      </c>
      <c r="L739" s="2">
        <f>IF(J739&lt;&gt;"","",LEN(K739))</f>
        <v>3</v>
      </c>
      <c r="M739" s="2" t="str">
        <f>IF(J739&lt;&gt;"","",MID(F739, H739+1, I739-H739-1))</f>
        <v>653</v>
      </c>
      <c r="N739" s="2">
        <f>IF(J739&lt;&gt;"","",LEN(M739))</f>
        <v>3</v>
      </c>
      <c r="O739" s="2">
        <f>IF(J739&lt;&gt;"","",K739*M739)</f>
        <v>278831</v>
      </c>
      <c r="R739" s="1" t="str">
        <v>699,367)when()}</v>
      </c>
      <c r="S739" s="1" t="str">
        <v>663,882</v>
      </c>
      <c r="T739" s="1" t="str">
        <v>663</v>
      </c>
      <c r="U739" s="1" t="str">
        <v>882</v>
      </c>
      <c r="V739" s="1">
        <v>584766</v>
      </c>
    </row>
    <row r="740" spans="4:22" x14ac:dyDescent="0.3">
      <c r="D740" s="2">
        <v>737</v>
      </c>
      <c r="E740" s="2">
        <f>SEARCH("mul",$C$4,E739+1)</f>
        <v>18209</v>
      </c>
      <c r="F740" s="2" t="str">
        <f>MID($C$4,E740,$F$1)</f>
        <v>mul(58,176)'}wh</v>
      </c>
      <c r="G740" s="3">
        <f>SEARCH("(",F740)</f>
        <v>4</v>
      </c>
      <c r="H740" s="3">
        <f>SEARCH(",",F740)</f>
        <v>7</v>
      </c>
      <c r="I740" s="3">
        <f>SEARCH(")",F740)</f>
        <v>11</v>
      </c>
      <c r="J740" s="2" t="str">
        <f>IF(OR(ISERROR(G740),ISERROR(H740),ISERROR(I740)),"CORRUPT!","")</f>
        <v/>
      </c>
      <c r="K740" s="2" t="str">
        <f>IF(J740&lt;&gt;"","",MID(F740, G740+1, H740-G740-1))</f>
        <v>58</v>
      </c>
      <c r="L740" s="2">
        <f>IF(J740&lt;&gt;"","",LEN(K740))</f>
        <v>2</v>
      </c>
      <c r="M740" s="2" t="str">
        <f>IF(J740&lt;&gt;"","",MID(F740, H740+1, I740-H740-1))</f>
        <v>176</v>
      </c>
      <c r="N740" s="2">
        <f>IF(J740&lt;&gt;"","",LEN(M740))</f>
        <v>3</v>
      </c>
      <c r="O740" s="2">
        <f>IF(J740&lt;&gt;"","",K740*M740)</f>
        <v>10208</v>
      </c>
      <c r="R740" s="1" t="str">
        <v>390,121),![,+]//,don't()@{what()(&gt;)~</v>
      </c>
      <c r="S740" s="1" t="str">
        <v>709,411</v>
      </c>
      <c r="T740" s="1" t="str">
        <v>709</v>
      </c>
      <c r="U740" s="1" t="str">
        <v>411</v>
      </c>
      <c r="V740" s="1">
        <v>291399</v>
      </c>
    </row>
    <row r="741" spans="4:22" x14ac:dyDescent="0.3">
      <c r="D741" s="2">
        <v>738</v>
      </c>
      <c r="E741" s="2">
        <f>SEARCH("mul",$C$4,E740+1)</f>
        <v>18241</v>
      </c>
      <c r="F741" s="2" t="str">
        <f>MID($C$4,E741,$F$1)</f>
        <v>mul(449,899)-wh</v>
      </c>
      <c r="G741" s="3">
        <f>SEARCH("(",F741)</f>
        <v>4</v>
      </c>
      <c r="H741" s="3">
        <f>SEARCH(",",F741)</f>
        <v>8</v>
      </c>
      <c r="I741" s="3">
        <f>SEARCH(")",F741)</f>
        <v>12</v>
      </c>
      <c r="J741" s="2" t="str">
        <f>IF(OR(ISERROR(G741),ISERROR(H741),ISERROR(I741)),"CORRUPT!","")</f>
        <v/>
      </c>
      <c r="K741" s="2" t="str">
        <f>IF(J741&lt;&gt;"","",MID(F741, G741+1, H741-G741-1))</f>
        <v>449</v>
      </c>
      <c r="L741" s="2">
        <f>IF(J741&lt;&gt;"","",LEN(K741))</f>
        <v>3</v>
      </c>
      <c r="M741" s="2" t="str">
        <f>IF(J741&lt;&gt;"","",MID(F741, H741+1, I741-H741-1))</f>
        <v>899</v>
      </c>
      <c r="N741" s="2">
        <f>IF(J741&lt;&gt;"","",LEN(M741))</f>
        <v>3</v>
      </c>
      <c r="O741" s="2">
        <f>IF(J741&lt;&gt;"","",K741*M741)</f>
        <v>403651</v>
      </c>
      <c r="R741" s="1" t="str">
        <v>768,867)why()</v>
      </c>
      <c r="S741" s="1" t="str">
        <v>267,470</v>
      </c>
      <c r="T741" s="1" t="str">
        <v>267</v>
      </c>
      <c r="U741" s="1" t="str">
        <v>470</v>
      </c>
      <c r="V741" s="1">
        <v>125490</v>
      </c>
    </row>
    <row r="742" spans="4:22" x14ac:dyDescent="0.3">
      <c r="D742" s="2">
        <v>739</v>
      </c>
      <c r="E742" s="2">
        <f>SEARCH("mul",$C$4,E741+1)</f>
        <v>18279</v>
      </c>
      <c r="F742" s="2" t="str">
        <f>MID($C$4,E742,$F$1)</f>
        <v>mul(529,302)?&lt;]</v>
      </c>
      <c r="G742" s="3">
        <f>SEARCH("(",F742)</f>
        <v>4</v>
      </c>
      <c r="H742" s="3">
        <f>SEARCH(",",F742)</f>
        <v>8</v>
      </c>
      <c r="I742" s="3">
        <f>SEARCH(")",F742)</f>
        <v>12</v>
      </c>
      <c r="J742" s="2" t="str">
        <f>IF(OR(ISERROR(G742),ISERROR(H742),ISERROR(I742)),"CORRUPT!","")</f>
        <v/>
      </c>
      <c r="K742" s="2" t="str">
        <f>IF(J742&lt;&gt;"","",MID(F742, G742+1, H742-G742-1))</f>
        <v>529</v>
      </c>
      <c r="L742" s="2">
        <f>IF(J742&lt;&gt;"","",LEN(K742))</f>
        <v>3</v>
      </c>
      <c r="M742" s="2" t="str">
        <f>IF(J742&lt;&gt;"","",MID(F742, H742+1, I742-H742-1))</f>
        <v>302</v>
      </c>
      <c r="N742" s="2">
        <f>IF(J742&lt;&gt;"","",LEN(M742))</f>
        <v>3</v>
      </c>
      <c r="O742" s="2">
        <f>IF(J742&lt;&gt;"","",K742*M742)</f>
        <v>159758</v>
      </c>
      <c r="R742" s="1" t="str">
        <v>305,695)don't()?]where() ?#@(who()</v>
      </c>
      <c r="S742" s="1" t="str">
        <v>857,988</v>
      </c>
      <c r="T742" s="1" t="str">
        <v>857</v>
      </c>
      <c r="U742" s="1" t="str">
        <v>988</v>
      </c>
      <c r="V742" s="1">
        <v>846716</v>
      </c>
    </row>
    <row r="743" spans="4:22" x14ac:dyDescent="0.3">
      <c r="D743" s="2">
        <v>740</v>
      </c>
      <c r="E743" s="2">
        <f>SEARCH("mul",$C$4,E742+1)</f>
        <v>18308</v>
      </c>
      <c r="F743" s="2" t="str">
        <f>MID($C$4,E743,$F$1)</f>
        <v>mul(382,944)mul</v>
      </c>
      <c r="G743" s="3">
        <f>SEARCH("(",F743)</f>
        <v>4</v>
      </c>
      <c r="H743" s="3">
        <f>SEARCH(",",F743)</f>
        <v>8</v>
      </c>
      <c r="I743" s="3">
        <f>SEARCH(")",F743)</f>
        <v>12</v>
      </c>
      <c r="J743" s="2" t="str">
        <f>IF(OR(ISERROR(G743),ISERROR(H743),ISERROR(I743)),"CORRUPT!","")</f>
        <v/>
      </c>
      <c r="K743" s="2" t="str">
        <f>IF(J743&lt;&gt;"","",MID(F743, G743+1, H743-G743-1))</f>
        <v>382</v>
      </c>
      <c r="L743" s="2">
        <f>IF(J743&lt;&gt;"","",LEN(K743))</f>
        <v>3</v>
      </c>
      <c r="M743" s="2" t="str">
        <f>IF(J743&lt;&gt;"","",MID(F743, H743+1, I743-H743-1))</f>
        <v>944</v>
      </c>
      <c r="N743" s="2">
        <f>IF(J743&lt;&gt;"","",LEN(M743))</f>
        <v>3</v>
      </c>
      <c r="O743" s="2">
        <f>IF(J743&lt;&gt;"","",K743*M743)</f>
        <v>360608</v>
      </c>
      <c r="R743" s="1" t="str">
        <v>748,367)why()+[</v>
      </c>
      <c r="S743" s="1" t="str">
        <v>566,77</v>
      </c>
      <c r="T743" s="1" t="str">
        <v>566</v>
      </c>
      <c r="U743" s="1" t="str">
        <v>77</v>
      </c>
      <c r="V743" s="1">
        <v>43582</v>
      </c>
    </row>
    <row r="744" spans="4:22" x14ac:dyDescent="0.3">
      <c r="D744" s="2">
        <v>741</v>
      </c>
      <c r="E744" s="2">
        <f>SEARCH("mul",$C$4,E743+1)</f>
        <v>18320</v>
      </c>
      <c r="F744" s="2" t="str">
        <f>MID($C$4,E744,$F$1)</f>
        <v>mul(348,909),]/</v>
      </c>
      <c r="G744" s="3">
        <f>SEARCH("(",F744)</f>
        <v>4</v>
      </c>
      <c r="H744" s="3">
        <f>SEARCH(",",F744)</f>
        <v>8</v>
      </c>
      <c r="I744" s="3">
        <f>SEARCH(")",F744)</f>
        <v>12</v>
      </c>
      <c r="J744" s="2" t="str">
        <f>IF(OR(ISERROR(G744),ISERROR(H744),ISERROR(I744)),"CORRUPT!","")</f>
        <v/>
      </c>
      <c r="K744" s="2" t="str">
        <f>IF(J744&lt;&gt;"","",MID(F744, G744+1, H744-G744-1))</f>
        <v>348</v>
      </c>
      <c r="L744" s="2">
        <f>IF(J744&lt;&gt;"","",LEN(K744))</f>
        <v>3</v>
      </c>
      <c r="M744" s="2" t="str">
        <f>IF(J744&lt;&gt;"","",MID(F744, H744+1, I744-H744-1))</f>
        <v>909</v>
      </c>
      <c r="N744" s="2">
        <f>IF(J744&lt;&gt;"","",LEN(M744))</f>
        <v>3</v>
      </c>
      <c r="O744" s="2">
        <f>IF(J744&lt;&gt;"","",K744*M744)</f>
        <v>316332</v>
      </c>
      <c r="R744" s="1" t="str">
        <v>643,18)})</v>
      </c>
      <c r="S744" s="1" t="str">
        <v>217,308</v>
      </c>
      <c r="T744" s="1" t="str">
        <v>217</v>
      </c>
      <c r="U744" s="1" t="str">
        <v>308</v>
      </c>
      <c r="V744" s="1">
        <v>66836</v>
      </c>
    </row>
    <row r="745" spans="4:22" x14ac:dyDescent="0.3">
      <c r="D745" s="2">
        <v>742</v>
      </c>
      <c r="E745" s="2">
        <f>SEARCH("mul",$C$4,E744+1)</f>
        <v>18335</v>
      </c>
      <c r="F745" s="2" t="str">
        <f>MID($C$4,E745,$F$1)</f>
        <v>mul(595,427)-:m</v>
      </c>
      <c r="G745" s="3">
        <f>SEARCH("(",F745)</f>
        <v>4</v>
      </c>
      <c r="H745" s="3">
        <f>SEARCH(",",F745)</f>
        <v>8</v>
      </c>
      <c r="I745" s="3">
        <f>SEARCH(")",F745)</f>
        <v>12</v>
      </c>
      <c r="J745" s="2" t="str">
        <f>IF(OR(ISERROR(G745),ISERROR(H745),ISERROR(I745)),"CORRUPT!","")</f>
        <v/>
      </c>
      <c r="K745" s="2" t="str">
        <f>IF(J745&lt;&gt;"","",MID(F745, G745+1, H745-G745-1))</f>
        <v>595</v>
      </c>
      <c r="L745" s="2">
        <f>IF(J745&lt;&gt;"","",LEN(K745))</f>
        <v>3</v>
      </c>
      <c r="M745" s="2" t="str">
        <f>IF(J745&lt;&gt;"","",MID(F745, H745+1, I745-H745-1))</f>
        <v>427</v>
      </c>
      <c r="N745" s="2">
        <f>IF(J745&lt;&gt;"","",LEN(M745))</f>
        <v>3</v>
      </c>
      <c r="O745" s="2">
        <f>IF(J745&lt;&gt;"","",K745*M745)</f>
        <v>254065</v>
      </c>
      <c r="R745" s="1" t="str">
        <v>343,964){'</v>
      </c>
      <c r="S745" s="1" t="str">
        <v>462,131</v>
      </c>
      <c r="T745" s="1" t="str">
        <v>462</v>
      </c>
      <c r="U745" s="1" t="str">
        <v>131</v>
      </c>
      <c r="V745" s="1">
        <v>60522</v>
      </c>
    </row>
    <row r="746" spans="4:22" x14ac:dyDescent="0.3">
      <c r="D746" s="2">
        <v>743</v>
      </c>
      <c r="E746" s="2">
        <f>SEARCH("mul",$C$4,E745+1)</f>
        <v>18349</v>
      </c>
      <c r="F746" s="2" t="str">
        <f>MID($C$4,E746,$F$1)</f>
        <v>mul(896,889);-)</v>
      </c>
      <c r="G746" s="3">
        <f>SEARCH("(",F746)</f>
        <v>4</v>
      </c>
      <c r="H746" s="3">
        <f>SEARCH(",",F746)</f>
        <v>8</v>
      </c>
      <c r="I746" s="3">
        <f>SEARCH(")",F746)</f>
        <v>12</v>
      </c>
      <c r="J746" s="2" t="str">
        <f>IF(OR(ISERROR(G746),ISERROR(H746),ISERROR(I746)),"CORRUPT!","")</f>
        <v/>
      </c>
      <c r="K746" s="2" t="str">
        <f>IF(J746&lt;&gt;"","",MID(F746, G746+1, H746-G746-1))</f>
        <v>896</v>
      </c>
      <c r="L746" s="2">
        <f>IF(J746&lt;&gt;"","",LEN(K746))</f>
        <v>3</v>
      </c>
      <c r="M746" s="2" t="str">
        <f>IF(J746&lt;&gt;"","",MID(F746, H746+1, I746-H746-1))</f>
        <v>889</v>
      </c>
      <c r="N746" s="2">
        <f>IF(J746&lt;&gt;"","",LEN(M746))</f>
        <v>3</v>
      </c>
      <c r="O746" s="2">
        <f>IF(J746&lt;&gt;"","",K746*M746)</f>
        <v>796544</v>
      </c>
      <c r="R746" s="1" t="str">
        <v>287,548)?%do(),from();/?';select()</v>
      </c>
      <c r="S746" s="1" t="str">
        <v>242,763</v>
      </c>
      <c r="T746" s="1" t="str">
        <v>242</v>
      </c>
      <c r="U746" s="1" t="str">
        <v>763</v>
      </c>
      <c r="V746" s="1">
        <v>184646</v>
      </c>
    </row>
    <row r="747" spans="4:22" x14ac:dyDescent="0.3">
      <c r="D747" s="2">
        <v>744</v>
      </c>
      <c r="E747" s="2">
        <f>SEARCH("mul",$C$4,E746+1)</f>
        <v>18365</v>
      </c>
      <c r="F747" s="2" t="str">
        <f>MID($C$4,E747,$F$1)</f>
        <v>mul(212,114)[}w</v>
      </c>
      <c r="G747" s="3">
        <f>SEARCH("(",F747)</f>
        <v>4</v>
      </c>
      <c r="H747" s="3">
        <f>SEARCH(",",F747)</f>
        <v>8</v>
      </c>
      <c r="I747" s="3">
        <f>SEARCH(")",F747)</f>
        <v>12</v>
      </c>
      <c r="J747" s="2" t="str">
        <f>IF(OR(ISERROR(G747),ISERROR(H747),ISERROR(I747)),"CORRUPT!","")</f>
        <v/>
      </c>
      <c r="K747" s="2" t="str">
        <f>IF(J747&lt;&gt;"","",MID(F747, G747+1, H747-G747-1))</f>
        <v>212</v>
      </c>
      <c r="L747" s="2">
        <f>IF(J747&lt;&gt;"","",LEN(K747))</f>
        <v>3</v>
      </c>
      <c r="M747" s="2" t="str">
        <f>IF(J747&lt;&gt;"","",MID(F747, H747+1, I747-H747-1))</f>
        <v>114</v>
      </c>
      <c r="N747" s="2">
        <f>IF(J747&lt;&gt;"","",LEN(M747))</f>
        <v>3</v>
      </c>
      <c r="O747" s="2">
        <f>IF(J747&lt;&gt;"","",K747*M747)</f>
        <v>24168</v>
      </c>
      <c r="R747" s="1" t="str">
        <v>97,411)!!{?</v>
      </c>
      <c r="S747" s="1" t="str">
        <v>316,185</v>
      </c>
      <c r="T747" s="1" t="str">
        <v>316</v>
      </c>
      <c r="U747" s="1" t="str">
        <v>185</v>
      </c>
      <c r="V747" s="1">
        <v>58460</v>
      </c>
    </row>
    <row r="748" spans="4:22" x14ac:dyDescent="0.3">
      <c r="D748" s="2">
        <v>745</v>
      </c>
      <c r="E748" s="2">
        <f>SEARCH("mul",$C$4,E747+1)</f>
        <v>18391</v>
      </c>
      <c r="F748" s="2" t="str">
        <f>MID($C$4,E748,$F$1)</f>
        <v>mul(796,319)fro</v>
      </c>
      <c r="G748" s="3">
        <f>SEARCH("(",F748)</f>
        <v>4</v>
      </c>
      <c r="H748" s="3">
        <f>SEARCH(",",F748)</f>
        <v>8</v>
      </c>
      <c r="I748" s="3">
        <f>SEARCH(")",F748)</f>
        <v>12</v>
      </c>
      <c r="J748" s="2" t="str">
        <f>IF(OR(ISERROR(G748),ISERROR(H748),ISERROR(I748)),"CORRUPT!","")</f>
        <v/>
      </c>
      <c r="K748" s="2" t="str">
        <f>IF(J748&lt;&gt;"","",MID(F748, G748+1, H748-G748-1))</f>
        <v>796</v>
      </c>
      <c r="L748" s="2">
        <f>IF(J748&lt;&gt;"","",LEN(K748))</f>
        <v>3</v>
      </c>
      <c r="M748" s="2" t="str">
        <f>IF(J748&lt;&gt;"","",MID(F748, H748+1, I748-H748-1))</f>
        <v>319</v>
      </c>
      <c r="N748" s="2">
        <f>IF(J748&lt;&gt;"","",LEN(M748))</f>
        <v>3</v>
      </c>
      <c r="O748" s="2">
        <f>IF(J748&lt;&gt;"","",K748*M748)</f>
        <v>253924</v>
      </c>
      <c r="R748" s="1" t="str">
        <v>105,759)how())how()@</v>
      </c>
      <c r="S748" s="1" t="str">
        <v>584,440</v>
      </c>
      <c r="T748" s="1" t="str">
        <v>584</v>
      </c>
      <c r="U748" s="1" t="str">
        <v>440</v>
      </c>
      <c r="V748" s="1">
        <v>256960</v>
      </c>
    </row>
    <row r="749" spans="4:22" x14ac:dyDescent="0.3">
      <c r="D749" s="2">
        <v>746</v>
      </c>
      <c r="E749" s="2">
        <f>SEARCH("mul",$C$4,E748+1)</f>
        <v>18414</v>
      </c>
      <c r="F749" s="2" t="str">
        <f>MID($C$4,E749,$F$1)</f>
        <v>mul(161,245),mu</v>
      </c>
      <c r="G749" s="3">
        <f>SEARCH("(",F749)</f>
        <v>4</v>
      </c>
      <c r="H749" s="3">
        <f>SEARCH(",",F749)</f>
        <v>8</v>
      </c>
      <c r="I749" s="3">
        <f>SEARCH(")",F749)</f>
        <v>12</v>
      </c>
      <c r="J749" s="2" t="str">
        <f>IF(OR(ISERROR(G749),ISERROR(H749),ISERROR(I749)),"CORRUPT!","")</f>
        <v/>
      </c>
      <c r="K749" s="2" t="str">
        <f>IF(J749&lt;&gt;"","",MID(F749, G749+1, H749-G749-1))</f>
        <v>161</v>
      </c>
      <c r="L749" s="2">
        <f>IF(J749&lt;&gt;"","",LEN(K749))</f>
        <v>3</v>
      </c>
      <c r="M749" s="2" t="str">
        <f>IF(J749&lt;&gt;"","",MID(F749, H749+1, I749-H749-1))</f>
        <v>245</v>
      </c>
      <c r="N749" s="2">
        <f>IF(J749&lt;&gt;"","",LEN(M749))</f>
        <v>3</v>
      </c>
      <c r="O749" s="2">
        <f>IF(J749&lt;&gt;"","",K749*M749)</f>
        <v>39445</v>
      </c>
      <c r="R749" s="1" t="str">
        <v>663,882)~[</v>
      </c>
    </row>
    <row r="750" spans="4:22" x14ac:dyDescent="0.3">
      <c r="D750" s="2">
        <v>747</v>
      </c>
      <c r="E750" s="2">
        <f>SEARCH("mul",$C$4,E749+1)</f>
        <v>18427</v>
      </c>
      <c r="F750" s="2" t="str">
        <f>MID($C$4,E750,$F$1)</f>
        <v>mul(211,760)]*&lt;</v>
      </c>
      <c r="G750" s="3">
        <f>SEARCH("(",F750)</f>
        <v>4</v>
      </c>
      <c r="H750" s="3">
        <f>SEARCH(",",F750)</f>
        <v>8</v>
      </c>
      <c r="I750" s="3">
        <f>SEARCH(")",F750)</f>
        <v>12</v>
      </c>
      <c r="J750" s="2" t="str">
        <f>IF(OR(ISERROR(G750),ISERROR(H750),ISERROR(I750)),"CORRUPT!","")</f>
        <v/>
      </c>
      <c r="K750" s="2" t="str">
        <f>IF(J750&lt;&gt;"","",MID(F750, G750+1, H750-G750-1))</f>
        <v>211</v>
      </c>
      <c r="L750" s="2">
        <f>IF(J750&lt;&gt;"","",LEN(K750))</f>
        <v>3</v>
      </c>
      <c r="M750" s="2" t="str">
        <f>IF(J750&lt;&gt;"","",MID(F750, H750+1, I750-H750-1))</f>
        <v>760</v>
      </c>
      <c r="N750" s="2">
        <f>IF(J750&lt;&gt;"","",LEN(M750))</f>
        <v>3</v>
      </c>
      <c r="O750" s="2">
        <f>IF(J750&lt;&gt;"","",K750*M750)</f>
        <v>160360</v>
      </c>
      <c r="R750" s="1" t="str">
        <v>709,411)@;]what()when()</v>
      </c>
    </row>
    <row r="751" spans="4:22" x14ac:dyDescent="0.3">
      <c r="D751" s="2">
        <v>748</v>
      </c>
      <c r="E751" s="2">
        <f>SEARCH("mul",$C$4,E750+1)</f>
        <v>18451</v>
      </c>
      <c r="F751" s="2" t="str">
        <f>MID($C$4,E751,$F$1)</f>
        <v>mul(239,248)%mu</v>
      </c>
      <c r="G751" s="3">
        <f>SEARCH("(",F751)</f>
        <v>4</v>
      </c>
      <c r="H751" s="3">
        <f>SEARCH(",",F751)</f>
        <v>8</v>
      </c>
      <c r="I751" s="3">
        <f>SEARCH(")",F751)</f>
        <v>12</v>
      </c>
      <c r="J751" s="2" t="str">
        <f>IF(OR(ISERROR(G751),ISERROR(H751),ISERROR(I751)),"CORRUPT!","")</f>
        <v/>
      </c>
      <c r="K751" s="2" t="str">
        <f>IF(J751&lt;&gt;"","",MID(F751, G751+1, H751-G751-1))</f>
        <v>239</v>
      </c>
      <c r="L751" s="2">
        <f>IF(J751&lt;&gt;"","",LEN(K751))</f>
        <v>3</v>
      </c>
      <c r="M751" s="2" t="str">
        <f>IF(J751&lt;&gt;"","",MID(F751, H751+1, I751-H751-1))</f>
        <v>248</v>
      </c>
      <c r="N751" s="2">
        <f>IF(J751&lt;&gt;"","",LEN(M751))</f>
        <v>3</v>
      </c>
      <c r="O751" s="2">
        <f>IF(J751&lt;&gt;"","",K751*M751)</f>
        <v>59272</v>
      </c>
      <c r="R751" s="1" t="str">
        <v>267,470)&amp;</v>
      </c>
    </row>
    <row r="752" spans="4:22" x14ac:dyDescent="0.3">
      <c r="D752" s="2">
        <v>749</v>
      </c>
      <c r="E752" s="2">
        <f>SEARCH("mul",$C$4,E751+1)</f>
        <v>18464</v>
      </c>
      <c r="F752" s="2" t="str">
        <f>MID($C$4,E752,$F$1)</f>
        <v>mul(634,18)mul(</v>
      </c>
      <c r="G752" s="3">
        <f>SEARCH("(",F752)</f>
        <v>4</v>
      </c>
      <c r="H752" s="3">
        <f>SEARCH(",",F752)</f>
        <v>8</v>
      </c>
      <c r="I752" s="3">
        <f>SEARCH(")",F752)</f>
        <v>11</v>
      </c>
      <c r="J752" s="2" t="str">
        <f>IF(OR(ISERROR(G752),ISERROR(H752),ISERROR(I752)),"CORRUPT!","")</f>
        <v/>
      </c>
      <c r="K752" s="2" t="str">
        <f>IF(J752&lt;&gt;"","",MID(F752, G752+1, H752-G752-1))</f>
        <v>634</v>
      </c>
      <c r="L752" s="2">
        <f>IF(J752&lt;&gt;"","",LEN(K752))</f>
        <v>3</v>
      </c>
      <c r="M752" s="2" t="str">
        <f>IF(J752&lt;&gt;"","",MID(F752, H752+1, I752-H752-1))</f>
        <v>18</v>
      </c>
      <c r="N752" s="2">
        <f>IF(J752&lt;&gt;"","",LEN(M752))</f>
        <v>2</v>
      </c>
      <c r="O752" s="2">
        <f>IF(J752&lt;&gt;"","",K752*M752)</f>
        <v>11412</v>
      </c>
      <c r="R752" s="1" t="str">
        <v>857,988)}/]^-select()]^:where()do()why()where()]-*</v>
      </c>
    </row>
    <row r="753" spans="4:18" x14ac:dyDescent="0.3">
      <c r="D753" s="2">
        <v>750</v>
      </c>
      <c r="E753" s="2">
        <f>SEARCH("mul",$C$4,E752+1)</f>
        <v>18475</v>
      </c>
      <c r="F753" s="2" t="str">
        <f>MID($C$4,E753,$F$1)</f>
        <v>mul(501,317)why</v>
      </c>
      <c r="G753" s="3">
        <f>SEARCH("(",F753)</f>
        <v>4</v>
      </c>
      <c r="H753" s="3">
        <f>SEARCH(",",F753)</f>
        <v>8</v>
      </c>
      <c r="I753" s="3">
        <f>SEARCH(")",F753)</f>
        <v>12</v>
      </c>
      <c r="J753" s="2" t="str">
        <f>IF(OR(ISERROR(G753),ISERROR(H753),ISERROR(I753)),"CORRUPT!","")</f>
        <v/>
      </c>
      <c r="K753" s="2" t="str">
        <f>IF(J753&lt;&gt;"","",MID(F753, G753+1, H753-G753-1))</f>
        <v>501</v>
      </c>
      <c r="L753" s="2">
        <f>IF(J753&lt;&gt;"","",LEN(K753))</f>
        <v>3</v>
      </c>
      <c r="M753" s="2" t="str">
        <f>IF(J753&lt;&gt;"","",MID(F753, H753+1, I753-H753-1))</f>
        <v>317</v>
      </c>
      <c r="N753" s="2">
        <f>IF(J753&lt;&gt;"","",LEN(M753))</f>
        <v>3</v>
      </c>
      <c r="O753" s="2">
        <f>IF(J753&lt;&gt;"","",K753*M753)</f>
        <v>158817</v>
      </c>
      <c r="R753" s="1" t="str">
        <v>566,77)-&lt;why()how();:~&gt;#</v>
      </c>
    </row>
    <row r="754" spans="4:18" x14ac:dyDescent="0.3">
      <c r="D754" s="2">
        <v>751</v>
      </c>
      <c r="E754" s="2">
        <f>SEARCH("mul",$C$4,E753+1)</f>
        <v>18556</v>
      </c>
      <c r="F754" s="2" t="str">
        <f>MID($C$4,E754,$F$1)</f>
        <v>mul(736,662)*%-</v>
      </c>
      <c r="G754" s="3">
        <f>SEARCH("(",F754)</f>
        <v>4</v>
      </c>
      <c r="H754" s="3">
        <f>SEARCH(",",F754)</f>
        <v>8</v>
      </c>
      <c r="I754" s="3">
        <f>SEARCH(")",F754)</f>
        <v>12</v>
      </c>
      <c r="J754" s="2" t="str">
        <f>IF(OR(ISERROR(G754),ISERROR(H754),ISERROR(I754)),"CORRUPT!","")</f>
        <v/>
      </c>
      <c r="K754" s="2" t="str">
        <f>IF(J754&lt;&gt;"","",MID(F754, G754+1, H754-G754-1))</f>
        <v>736</v>
      </c>
      <c r="L754" s="2">
        <f>IF(J754&lt;&gt;"","",LEN(K754))</f>
        <v>3</v>
      </c>
      <c r="M754" s="2" t="str">
        <f>IF(J754&lt;&gt;"","",MID(F754, H754+1, I754-H754-1))</f>
        <v>662</v>
      </c>
      <c r="N754" s="2">
        <f>IF(J754&lt;&gt;"","",LEN(M754))</f>
        <v>3</v>
      </c>
      <c r="O754" s="2">
        <f>IF(J754&lt;&gt;"","",K754*M754)</f>
        <v>487232</v>
      </c>
      <c r="R754" s="1" t="str">
        <v>217,308)what()~~(select()&amp;</v>
      </c>
    </row>
    <row r="755" spans="4:18" x14ac:dyDescent="0.3">
      <c r="D755" s="2">
        <v>752</v>
      </c>
      <c r="E755" s="2">
        <f>SEARCH("mul",$C$4,E754+1)</f>
        <v>18588</v>
      </c>
      <c r="F755" s="2" t="str">
        <f>MID($C$4,E755,$F$1)</f>
        <v>mul(297,910) wh</v>
      </c>
      <c r="G755" s="3">
        <f>SEARCH("(",F755)</f>
        <v>4</v>
      </c>
      <c r="H755" s="3">
        <f>SEARCH(",",F755)</f>
        <v>8</v>
      </c>
      <c r="I755" s="3">
        <f>SEARCH(")",F755)</f>
        <v>12</v>
      </c>
      <c r="J755" s="2" t="str">
        <f>IF(OR(ISERROR(G755),ISERROR(H755),ISERROR(I755)),"CORRUPT!","")</f>
        <v/>
      </c>
      <c r="K755" s="2" t="str">
        <f>IF(J755&lt;&gt;"","",MID(F755, G755+1, H755-G755-1))</f>
        <v>297</v>
      </c>
      <c r="L755" s="2">
        <f>IF(J755&lt;&gt;"","",LEN(K755))</f>
        <v>3</v>
      </c>
      <c r="M755" s="2" t="str">
        <f>IF(J755&lt;&gt;"","",MID(F755, H755+1, I755-H755-1))</f>
        <v>910</v>
      </c>
      <c r="N755" s="2">
        <f>IF(J755&lt;&gt;"","",LEN(M755))</f>
        <v>3</v>
      </c>
      <c r="O755" s="2">
        <f>IF(J755&lt;&gt;"","",K755*M755)</f>
        <v>270270</v>
      </c>
      <c r="R755" s="1" t="str">
        <v>462,131)&lt;+]%how()select()</v>
      </c>
    </row>
    <row r="756" spans="4:18" x14ac:dyDescent="0.3">
      <c r="D756" s="2">
        <v>753</v>
      </c>
      <c r="E756" s="2">
        <f>SEARCH("mul",$C$4,E755+1)</f>
        <v>18617</v>
      </c>
      <c r="F756" s="2" t="str">
        <f>MID($C$4,E756,$F$1)</f>
        <v>mul(353,117)]%'</v>
      </c>
      <c r="G756" s="3">
        <f>SEARCH("(",F756)</f>
        <v>4</v>
      </c>
      <c r="H756" s="3">
        <f>SEARCH(",",F756)</f>
        <v>8</v>
      </c>
      <c r="I756" s="3">
        <f>SEARCH(")",F756)</f>
        <v>12</v>
      </c>
      <c r="J756" s="2" t="str">
        <f>IF(OR(ISERROR(G756),ISERROR(H756),ISERROR(I756)),"CORRUPT!","")</f>
        <v/>
      </c>
      <c r="K756" s="2" t="str">
        <f>IF(J756&lt;&gt;"","",MID(F756, G756+1, H756-G756-1))</f>
        <v>353</v>
      </c>
      <c r="L756" s="2">
        <f>IF(J756&lt;&gt;"","",LEN(K756))</f>
        <v>3</v>
      </c>
      <c r="M756" s="2" t="str">
        <f>IF(J756&lt;&gt;"","",MID(F756, H756+1, I756-H756-1))</f>
        <v>117</v>
      </c>
      <c r="N756" s="2">
        <f>IF(J756&lt;&gt;"","",LEN(M756))</f>
        <v>3</v>
      </c>
      <c r="O756" s="2">
        <f>IF(J756&lt;&gt;"","",K756*M756)</f>
        <v>41301</v>
      </c>
      <c r="R756" s="1" t="str">
        <v>242,763)'select()why()</v>
      </c>
    </row>
    <row r="757" spans="4:18" x14ac:dyDescent="0.3">
      <c r="D757" s="2">
        <v>754</v>
      </c>
      <c r="E757" s="2">
        <f>SEARCH("mul",$C$4,E756+1)</f>
        <v>18637</v>
      </c>
      <c r="F757" s="2" t="str">
        <f>MID($C$4,E757,$F$1)</f>
        <v>mul(799,639)who</v>
      </c>
      <c r="G757" s="3">
        <f>SEARCH("(",F757)</f>
        <v>4</v>
      </c>
      <c r="H757" s="3">
        <f>SEARCH(",",F757)</f>
        <v>8</v>
      </c>
      <c r="I757" s="3">
        <f>SEARCH(")",F757)</f>
        <v>12</v>
      </c>
      <c r="J757" s="2" t="str">
        <f>IF(OR(ISERROR(G757),ISERROR(H757),ISERROR(I757)),"CORRUPT!","")</f>
        <v/>
      </c>
      <c r="K757" s="2" t="str">
        <f>IF(J757&lt;&gt;"","",MID(F757, G757+1, H757-G757-1))</f>
        <v>799</v>
      </c>
      <c r="L757" s="2">
        <f>IF(J757&lt;&gt;"","",LEN(K757))</f>
        <v>3</v>
      </c>
      <c r="M757" s="2" t="str">
        <f>IF(J757&lt;&gt;"","",MID(F757, H757+1, I757-H757-1))</f>
        <v>639</v>
      </c>
      <c r="N757" s="2">
        <f>IF(J757&lt;&gt;"","",LEN(M757))</f>
        <v>3</v>
      </c>
      <c r="O757" s="2">
        <f>IF(J757&lt;&gt;"","",K757*M757)</f>
        <v>510561</v>
      </c>
      <c r="R757" s="1" t="str">
        <v xml:space="preserve">316,185)[when()/ </v>
      </c>
    </row>
    <row r="758" spans="4:18" x14ac:dyDescent="0.3">
      <c r="D758" s="2">
        <v>755</v>
      </c>
      <c r="E758" s="2">
        <f>SEARCH("mul",$C$4,E757+1)</f>
        <v>18658</v>
      </c>
      <c r="F758" s="2" t="str">
        <f>MID($C$4,E758,$F$1)</f>
        <v>mul(495,249)whe</v>
      </c>
      <c r="G758" s="3">
        <f>SEARCH("(",F758)</f>
        <v>4</v>
      </c>
      <c r="H758" s="3">
        <f>SEARCH(",",F758)</f>
        <v>8</v>
      </c>
      <c r="I758" s="3">
        <f>SEARCH(")",F758)</f>
        <v>12</v>
      </c>
      <c r="J758" s="2" t="str">
        <f>IF(OR(ISERROR(G758),ISERROR(H758),ISERROR(I758)),"CORRUPT!","")</f>
        <v/>
      </c>
      <c r="K758" s="2" t="str">
        <f>IF(J758&lt;&gt;"","",MID(F758, G758+1, H758-G758-1))</f>
        <v>495</v>
      </c>
      <c r="L758" s="2">
        <f>IF(J758&lt;&gt;"","",LEN(K758))</f>
        <v>3</v>
      </c>
      <c r="M758" s="2" t="str">
        <f>IF(J758&lt;&gt;"","",MID(F758, H758+1, I758-H758-1))</f>
        <v>249</v>
      </c>
      <c r="N758" s="2">
        <f>IF(J758&lt;&gt;"","",LEN(M758))</f>
        <v>3</v>
      </c>
      <c r="O758" s="2">
        <f>IF(J758&lt;&gt;"","",K758*M758)</f>
        <v>123255</v>
      </c>
      <c r="R758" s="1" t="str">
        <v>584,440)from()</v>
      </c>
    </row>
    <row r="759" spans="4:18" x14ac:dyDescent="0.3">
      <c r="D759" s="2">
        <v>756</v>
      </c>
      <c r="E759" s="2">
        <f>SEARCH("mul",$C$4,E758+1)</f>
        <v>18680</v>
      </c>
      <c r="F759" s="2" t="str">
        <f>MID($C$4,E759,$F$1)</f>
        <v>mul(79,846)how(</v>
      </c>
      <c r="G759" s="3">
        <f>SEARCH("(",F759)</f>
        <v>4</v>
      </c>
      <c r="H759" s="3">
        <f>SEARCH(",",F759)</f>
        <v>7</v>
      </c>
      <c r="I759" s="3">
        <f>SEARCH(")",F759)</f>
        <v>11</v>
      </c>
      <c r="J759" s="2" t="str">
        <f>IF(OR(ISERROR(G759),ISERROR(H759),ISERROR(I759)),"CORRUPT!","")</f>
        <v/>
      </c>
      <c r="K759" s="2" t="str">
        <f>IF(J759&lt;&gt;"","",MID(F759, G759+1, H759-G759-1))</f>
        <v>79</v>
      </c>
      <c r="L759" s="2">
        <f>IF(J759&lt;&gt;"","",LEN(K759))</f>
        <v>2</v>
      </c>
      <c r="M759" s="2" t="str">
        <f>IF(J759&lt;&gt;"","",MID(F759, H759+1, I759-H759-1))</f>
        <v>846</v>
      </c>
      <c r="N759" s="2">
        <f>IF(J759&lt;&gt;"","",LEN(M759))</f>
        <v>3</v>
      </c>
      <c r="O759" s="2">
        <f>IF(J759&lt;&gt;"","",K759*M759)</f>
        <v>66834</v>
      </c>
    </row>
    <row r="760" spans="4:18" x14ac:dyDescent="0.3">
      <c r="D760" s="2">
        <v>757</v>
      </c>
      <c r="E760" s="2">
        <f>SEARCH("mul",$C$4,E759+1)</f>
        <v>18697</v>
      </c>
      <c r="F760" s="2" t="str">
        <f>MID($C$4,E760,$F$1)</f>
        <v>mul(317,217)/mu</v>
      </c>
      <c r="G760" s="3">
        <f>SEARCH("(",F760)</f>
        <v>4</v>
      </c>
      <c r="H760" s="3">
        <f>SEARCH(",",F760)</f>
        <v>8</v>
      </c>
      <c r="I760" s="3">
        <f>SEARCH(")",F760)</f>
        <v>12</v>
      </c>
      <c r="J760" s="2" t="str">
        <f>IF(OR(ISERROR(G760),ISERROR(H760),ISERROR(I760)),"CORRUPT!","")</f>
        <v/>
      </c>
      <c r="K760" s="2" t="str">
        <f>IF(J760&lt;&gt;"","",MID(F760, G760+1, H760-G760-1))</f>
        <v>317</v>
      </c>
      <c r="L760" s="2">
        <f>IF(J760&lt;&gt;"","",LEN(K760))</f>
        <v>3</v>
      </c>
      <c r="M760" s="2" t="str">
        <f>IF(J760&lt;&gt;"","",MID(F760, H760+1, I760-H760-1))</f>
        <v>217</v>
      </c>
      <c r="N760" s="2">
        <f>IF(J760&lt;&gt;"","",LEN(M760))</f>
        <v>3</v>
      </c>
      <c r="O760" s="2">
        <f>IF(J760&lt;&gt;"","",K760*M760)</f>
        <v>68789</v>
      </c>
    </row>
    <row r="761" spans="4:18" x14ac:dyDescent="0.3">
      <c r="D761" s="2">
        <v>758</v>
      </c>
      <c r="E761" s="2">
        <f>SEARCH("mul",$C$4,E760+1)</f>
        <v>18710</v>
      </c>
      <c r="F761" s="2" t="str">
        <f>MID($C$4,E761,$F$1)</f>
        <v>mul(699,367)whe</v>
      </c>
      <c r="G761" s="3">
        <f>SEARCH("(",F761)</f>
        <v>4</v>
      </c>
      <c r="H761" s="3">
        <f>SEARCH(",",F761)</f>
        <v>8</v>
      </c>
      <c r="I761" s="3">
        <f>SEARCH(")",F761)</f>
        <v>12</v>
      </c>
      <c r="J761" s="2" t="str">
        <f>IF(OR(ISERROR(G761),ISERROR(H761),ISERROR(I761)),"CORRUPT!","")</f>
        <v/>
      </c>
      <c r="K761" s="2" t="str">
        <f>IF(J761&lt;&gt;"","",MID(F761, G761+1, H761-G761-1))</f>
        <v>699</v>
      </c>
      <c r="L761" s="2">
        <f>IF(J761&lt;&gt;"","",LEN(K761))</f>
        <v>3</v>
      </c>
      <c r="M761" s="2" t="str">
        <f>IF(J761&lt;&gt;"","",MID(F761, H761+1, I761-H761-1))</f>
        <v>367</v>
      </c>
      <c r="N761" s="2">
        <f>IF(J761&lt;&gt;"","",LEN(M761))</f>
        <v>3</v>
      </c>
      <c r="O761" s="2">
        <f>IF(J761&lt;&gt;"","",K761*M761)</f>
        <v>256533</v>
      </c>
    </row>
    <row r="762" spans="4:18" x14ac:dyDescent="0.3">
      <c r="D762" s="2">
        <v>759</v>
      </c>
      <c r="E762" s="2">
        <f>SEARCH("mul",$C$4,E761+1)</f>
        <v>18729</v>
      </c>
      <c r="F762" s="2" t="str">
        <f>MID($C$4,E762,$F$1)</f>
        <v>mul(390,121),![</v>
      </c>
      <c r="G762" s="3">
        <f>SEARCH("(",F762)</f>
        <v>4</v>
      </c>
      <c r="H762" s="3">
        <f>SEARCH(",",F762)</f>
        <v>8</v>
      </c>
      <c r="I762" s="3">
        <f>SEARCH(")",F762)</f>
        <v>12</v>
      </c>
      <c r="J762" s="2" t="str">
        <f>IF(OR(ISERROR(G762),ISERROR(H762),ISERROR(I762)),"CORRUPT!","")</f>
        <v/>
      </c>
      <c r="K762" s="2" t="str">
        <f>IF(J762&lt;&gt;"","",MID(F762, G762+1, H762-G762-1))</f>
        <v>390</v>
      </c>
      <c r="L762" s="2">
        <f>IF(J762&lt;&gt;"","",LEN(K762))</f>
        <v>3</v>
      </c>
      <c r="M762" s="2" t="str">
        <f>IF(J762&lt;&gt;"","",MID(F762, H762+1, I762-H762-1))</f>
        <v>121</v>
      </c>
      <c r="N762" s="2">
        <f>IF(J762&lt;&gt;"","",LEN(M762))</f>
        <v>3</v>
      </c>
      <c r="O762" s="2">
        <f>IF(J762&lt;&gt;"","",K762*M762)</f>
        <v>47190</v>
      </c>
    </row>
    <row r="763" spans="4:18" x14ac:dyDescent="0.3">
      <c r="D763" s="2">
        <v>760</v>
      </c>
      <c r="E763" s="2">
        <f>SEARCH("mul",$C$4,E762+1)</f>
        <v>18769</v>
      </c>
      <c r="F763" s="2" t="str">
        <f>MID($C$4,E763,$F$1)</f>
        <v>mul(768,867)why</v>
      </c>
      <c r="G763" s="3">
        <f>SEARCH("(",F763)</f>
        <v>4</v>
      </c>
      <c r="H763" s="3">
        <f>SEARCH(",",F763)</f>
        <v>8</v>
      </c>
      <c r="I763" s="3">
        <f>SEARCH(")",F763)</f>
        <v>12</v>
      </c>
      <c r="J763" s="2" t="str">
        <f>IF(OR(ISERROR(G763),ISERROR(H763),ISERROR(I763)),"CORRUPT!","")</f>
        <v/>
      </c>
      <c r="K763" s="2" t="str">
        <f>IF(J763&lt;&gt;"","",MID(F763, G763+1, H763-G763-1))</f>
        <v>768</v>
      </c>
      <c r="L763" s="2">
        <f>IF(J763&lt;&gt;"","",LEN(K763))</f>
        <v>3</v>
      </c>
      <c r="M763" s="2" t="str">
        <f>IF(J763&lt;&gt;"","",MID(F763, H763+1, I763-H763-1))</f>
        <v>867</v>
      </c>
      <c r="N763" s="2">
        <f>IF(J763&lt;&gt;"","",LEN(M763))</f>
        <v>3</v>
      </c>
      <c r="O763" s="2">
        <f>IF(J763&lt;&gt;"","",K763*M763)</f>
        <v>665856</v>
      </c>
    </row>
    <row r="764" spans="4:18" x14ac:dyDescent="0.3">
      <c r="D764" s="2">
        <v>761</v>
      </c>
      <c r="E764" s="2">
        <f>SEARCH("mul",$C$4,E763+1)</f>
        <v>18786</v>
      </c>
      <c r="F764" s="2" t="str">
        <f>MID($C$4,E764,$F$1)</f>
        <v>mul(305,695)don</v>
      </c>
      <c r="G764" s="3">
        <f>SEARCH("(",F764)</f>
        <v>4</v>
      </c>
      <c r="H764" s="3">
        <f>SEARCH(",",F764)</f>
        <v>8</v>
      </c>
      <c r="I764" s="3">
        <f>SEARCH(")",F764)</f>
        <v>12</v>
      </c>
      <c r="J764" s="2" t="str">
        <f>IF(OR(ISERROR(G764),ISERROR(H764),ISERROR(I764)),"CORRUPT!","")</f>
        <v/>
      </c>
      <c r="K764" s="2" t="str">
        <f>IF(J764&lt;&gt;"","",MID(F764, G764+1, H764-G764-1))</f>
        <v>305</v>
      </c>
      <c r="L764" s="2">
        <f>IF(J764&lt;&gt;"","",LEN(K764))</f>
        <v>3</v>
      </c>
      <c r="M764" s="2" t="str">
        <f>IF(J764&lt;&gt;"","",MID(F764, H764+1, I764-H764-1))</f>
        <v>695</v>
      </c>
      <c r="N764" s="2">
        <f>IF(J764&lt;&gt;"","",LEN(M764))</f>
        <v>3</v>
      </c>
      <c r="O764" s="2">
        <f>IF(J764&lt;&gt;"","",K764*M764)</f>
        <v>211975</v>
      </c>
    </row>
    <row r="765" spans="4:18" x14ac:dyDescent="0.3">
      <c r="D765" s="2">
        <v>762</v>
      </c>
      <c r="E765" s="2">
        <f>SEARCH("mul",$C$4,E764+1)</f>
        <v>18824</v>
      </c>
      <c r="F765" s="2" t="str">
        <f>MID($C$4,E765,$F$1)</f>
        <v>mul(748,367)why</v>
      </c>
      <c r="G765" s="3">
        <f>SEARCH("(",F765)</f>
        <v>4</v>
      </c>
      <c r="H765" s="3">
        <f>SEARCH(",",F765)</f>
        <v>8</v>
      </c>
      <c r="I765" s="3">
        <f>SEARCH(")",F765)</f>
        <v>12</v>
      </c>
      <c r="J765" s="2" t="str">
        <f>IF(OR(ISERROR(G765),ISERROR(H765),ISERROR(I765)),"CORRUPT!","")</f>
        <v/>
      </c>
      <c r="K765" s="2" t="str">
        <f>IF(J765&lt;&gt;"","",MID(F765, G765+1, H765-G765-1))</f>
        <v>748</v>
      </c>
      <c r="L765" s="2">
        <f>IF(J765&lt;&gt;"","",LEN(K765))</f>
        <v>3</v>
      </c>
      <c r="M765" s="2" t="str">
        <f>IF(J765&lt;&gt;"","",MID(F765, H765+1, I765-H765-1))</f>
        <v>367</v>
      </c>
      <c r="N765" s="2">
        <f>IF(J765&lt;&gt;"","",LEN(M765))</f>
        <v>3</v>
      </c>
      <c r="O765" s="2">
        <f>IF(J765&lt;&gt;"","",K765*M765)</f>
        <v>274516</v>
      </c>
    </row>
    <row r="766" spans="4:18" x14ac:dyDescent="0.3">
      <c r="D766" s="2">
        <v>763</v>
      </c>
      <c r="E766" s="2">
        <f>SEARCH("mul",$C$4,E765+1)</f>
        <v>18843</v>
      </c>
      <c r="F766" s="2" t="str">
        <f>MID($C$4,E766,$F$1)</f>
        <v>mul(643,18)})mu</v>
      </c>
      <c r="G766" s="3">
        <f>SEARCH("(",F766)</f>
        <v>4</v>
      </c>
      <c r="H766" s="3">
        <f>SEARCH(",",F766)</f>
        <v>8</v>
      </c>
      <c r="I766" s="3">
        <f>SEARCH(")",F766)</f>
        <v>11</v>
      </c>
      <c r="J766" s="2" t="str">
        <f>IF(OR(ISERROR(G766),ISERROR(H766),ISERROR(I766)),"CORRUPT!","")</f>
        <v/>
      </c>
      <c r="K766" s="2" t="str">
        <f>IF(J766&lt;&gt;"","",MID(F766, G766+1, H766-G766-1))</f>
        <v>643</v>
      </c>
      <c r="L766" s="2">
        <f>IF(J766&lt;&gt;"","",LEN(K766))</f>
        <v>3</v>
      </c>
      <c r="M766" s="2" t="str">
        <f>IF(J766&lt;&gt;"","",MID(F766, H766+1, I766-H766-1))</f>
        <v>18</v>
      </c>
      <c r="N766" s="2">
        <f>IF(J766&lt;&gt;"","",LEN(M766))</f>
        <v>2</v>
      </c>
      <c r="O766" s="2">
        <f>IF(J766&lt;&gt;"","",K766*M766)</f>
        <v>11574</v>
      </c>
    </row>
    <row r="767" spans="4:18" x14ac:dyDescent="0.3">
      <c r="D767" s="2">
        <v>764</v>
      </c>
      <c r="E767" s="2">
        <f>SEARCH("mul",$C$4,E766+1)</f>
        <v>18856</v>
      </c>
      <c r="F767" s="2" t="str">
        <f>MID($C$4,E767,$F$1)</f>
        <v>mul(343,964){'m</v>
      </c>
      <c r="G767" s="3">
        <f>SEARCH("(",F767)</f>
        <v>4</v>
      </c>
      <c r="H767" s="3">
        <f>SEARCH(",",F767)</f>
        <v>8</v>
      </c>
      <c r="I767" s="3">
        <f>SEARCH(")",F767)</f>
        <v>12</v>
      </c>
      <c r="J767" s="2" t="str">
        <f>IF(OR(ISERROR(G767),ISERROR(H767),ISERROR(I767)),"CORRUPT!","")</f>
        <v/>
      </c>
      <c r="K767" s="2" t="str">
        <f>IF(J767&lt;&gt;"","",MID(F767, G767+1, H767-G767-1))</f>
        <v>343</v>
      </c>
      <c r="L767" s="2">
        <f>IF(J767&lt;&gt;"","",LEN(K767))</f>
        <v>3</v>
      </c>
      <c r="M767" s="2" t="str">
        <f>IF(J767&lt;&gt;"","",MID(F767, H767+1, I767-H767-1))</f>
        <v>964</v>
      </c>
      <c r="N767" s="2">
        <f>IF(J767&lt;&gt;"","",LEN(M767))</f>
        <v>3</v>
      </c>
      <c r="O767" s="2">
        <f>IF(J767&lt;&gt;"","",K767*M767)</f>
        <v>330652</v>
      </c>
    </row>
    <row r="768" spans="4:18" x14ac:dyDescent="0.3">
      <c r="D768" s="2">
        <v>765</v>
      </c>
      <c r="E768" s="2">
        <f>SEARCH("mul",$C$4,E767+1)</f>
        <v>18870</v>
      </c>
      <c r="F768" s="2" t="str">
        <f>MID($C$4,E768,$F$1)</f>
        <v>mul(287,548)?%d</v>
      </c>
      <c r="G768" s="3">
        <f>SEARCH("(",F768)</f>
        <v>4</v>
      </c>
      <c r="H768" s="3">
        <f>SEARCH(",",F768)</f>
        <v>8</v>
      </c>
      <c r="I768" s="3">
        <f>SEARCH(")",F768)</f>
        <v>12</v>
      </c>
      <c r="J768" s="2" t="str">
        <f>IF(OR(ISERROR(G768),ISERROR(H768),ISERROR(I768)),"CORRUPT!","")</f>
        <v/>
      </c>
      <c r="K768" s="2" t="str">
        <f>IF(J768&lt;&gt;"","",MID(F768, G768+1, H768-G768-1))</f>
        <v>287</v>
      </c>
      <c r="L768" s="2">
        <f>IF(J768&lt;&gt;"","",LEN(K768))</f>
        <v>3</v>
      </c>
      <c r="M768" s="2" t="str">
        <f>IF(J768&lt;&gt;"","",MID(F768, H768+1, I768-H768-1))</f>
        <v>548</v>
      </c>
      <c r="N768" s="2">
        <f>IF(J768&lt;&gt;"","",LEN(M768))</f>
        <v>3</v>
      </c>
      <c r="O768" s="2">
        <f>IF(J768&lt;&gt;"","",K768*M768)</f>
        <v>157276</v>
      </c>
    </row>
    <row r="769" spans="4:15" x14ac:dyDescent="0.3">
      <c r="D769" s="2">
        <v>766</v>
      </c>
      <c r="E769" s="2">
        <f>SEARCH("mul",$C$4,E768+1)</f>
        <v>18908</v>
      </c>
      <c r="F769" s="2" t="str">
        <f>MID($C$4,E769,$F$1)</f>
        <v>mul(97,411)!!{?</v>
      </c>
      <c r="G769" s="3">
        <f>SEARCH("(",F769)</f>
        <v>4</v>
      </c>
      <c r="H769" s="3">
        <f>SEARCH(",",F769)</f>
        <v>7</v>
      </c>
      <c r="I769" s="3">
        <f>SEARCH(")",F769)</f>
        <v>11</v>
      </c>
      <c r="J769" s="2" t="str">
        <f>IF(OR(ISERROR(G769),ISERROR(H769),ISERROR(I769)),"CORRUPT!","")</f>
        <v/>
      </c>
      <c r="K769" s="2" t="str">
        <f>IF(J769&lt;&gt;"","",MID(F769, G769+1, H769-G769-1))</f>
        <v>97</v>
      </c>
      <c r="L769" s="2">
        <f>IF(J769&lt;&gt;"","",LEN(K769))</f>
        <v>2</v>
      </c>
      <c r="M769" s="2" t="str">
        <f>IF(J769&lt;&gt;"","",MID(F769, H769+1, I769-H769-1))</f>
        <v>411</v>
      </c>
      <c r="N769" s="2">
        <f>IF(J769&lt;&gt;"","",LEN(M769))</f>
        <v>3</v>
      </c>
      <c r="O769" s="2">
        <f>IF(J769&lt;&gt;"","",K769*M769)</f>
        <v>39867</v>
      </c>
    </row>
    <row r="770" spans="4:15" x14ac:dyDescent="0.3">
      <c r="D770" s="2">
        <v>767</v>
      </c>
      <c r="E770" s="2">
        <f>SEARCH("mul",$C$4,E769+1)</f>
        <v>18923</v>
      </c>
      <c r="F770" s="2" t="str">
        <f>MID($C$4,E770,$F$1)</f>
        <v>mul(105,759)how</v>
      </c>
      <c r="G770" s="3">
        <f>SEARCH("(",F770)</f>
        <v>4</v>
      </c>
      <c r="H770" s="3">
        <f>SEARCH(",",F770)</f>
        <v>8</v>
      </c>
      <c r="I770" s="3">
        <f>SEARCH(")",F770)</f>
        <v>12</v>
      </c>
      <c r="J770" s="2" t="str">
        <f>IF(OR(ISERROR(G770),ISERROR(H770),ISERROR(I770)),"CORRUPT!","")</f>
        <v/>
      </c>
      <c r="K770" s="2" t="str">
        <f>IF(J770&lt;&gt;"","",MID(F770, G770+1, H770-G770-1))</f>
        <v>105</v>
      </c>
      <c r="L770" s="2">
        <f>IF(J770&lt;&gt;"","",LEN(K770))</f>
        <v>3</v>
      </c>
      <c r="M770" s="2" t="str">
        <f>IF(J770&lt;&gt;"","",MID(F770, H770+1, I770-H770-1))</f>
        <v>759</v>
      </c>
      <c r="N770" s="2">
        <f>IF(J770&lt;&gt;"","",LEN(M770))</f>
        <v>3</v>
      </c>
      <c r="O770" s="2">
        <f>IF(J770&lt;&gt;"","",K770*M770)</f>
        <v>79695</v>
      </c>
    </row>
    <row r="771" spans="4:15" x14ac:dyDescent="0.3">
      <c r="D771" s="2">
        <v>768</v>
      </c>
      <c r="E771" s="2">
        <f>SEARCH("mul",$C$4,E770+1)</f>
        <v>18947</v>
      </c>
      <c r="F771" s="2" t="str">
        <f>MID($C$4,E771,$F$1)</f>
        <v>mul(663,882)~[m</v>
      </c>
      <c r="G771" s="3">
        <f>SEARCH("(",F771)</f>
        <v>4</v>
      </c>
      <c r="H771" s="3">
        <f>SEARCH(",",F771)</f>
        <v>8</v>
      </c>
      <c r="I771" s="3">
        <f>SEARCH(")",F771)</f>
        <v>12</v>
      </c>
      <c r="J771" s="2" t="str">
        <f>IF(OR(ISERROR(G771),ISERROR(H771),ISERROR(I771)),"CORRUPT!","")</f>
        <v/>
      </c>
      <c r="K771" s="2" t="str">
        <f>IF(J771&lt;&gt;"","",MID(F771, G771+1, H771-G771-1))</f>
        <v>663</v>
      </c>
      <c r="L771" s="2">
        <f>IF(J771&lt;&gt;"","",LEN(K771))</f>
        <v>3</v>
      </c>
      <c r="M771" s="2" t="str">
        <f>IF(J771&lt;&gt;"","",MID(F771, H771+1, I771-H771-1))</f>
        <v>882</v>
      </c>
      <c r="N771" s="2">
        <f>IF(J771&lt;&gt;"","",LEN(M771))</f>
        <v>3</v>
      </c>
      <c r="O771" s="2">
        <f>IF(J771&lt;&gt;"","",K771*M771)</f>
        <v>584766</v>
      </c>
    </row>
    <row r="772" spans="4:15" x14ac:dyDescent="0.3">
      <c r="D772" s="2">
        <v>769</v>
      </c>
      <c r="E772" s="2">
        <f>SEARCH("mul",$C$4,E771+1)</f>
        <v>18961</v>
      </c>
      <c r="F772" s="2" t="str">
        <f>MID($C$4,E772,$F$1)</f>
        <v>mul(709,411)@;]</v>
      </c>
      <c r="G772" s="3">
        <f>SEARCH("(",F772)</f>
        <v>4</v>
      </c>
      <c r="H772" s="3">
        <f>SEARCH(",",F772)</f>
        <v>8</v>
      </c>
      <c r="I772" s="3">
        <f>SEARCH(")",F772)</f>
        <v>12</v>
      </c>
      <c r="J772" s="2" t="str">
        <f>IF(OR(ISERROR(G772),ISERROR(H772),ISERROR(I772)),"CORRUPT!","")</f>
        <v/>
      </c>
      <c r="K772" s="2" t="str">
        <f>IF(J772&lt;&gt;"","",MID(F772, G772+1, H772-G772-1))</f>
        <v>709</v>
      </c>
      <c r="L772" s="2">
        <f>IF(J772&lt;&gt;"","",LEN(K772))</f>
        <v>3</v>
      </c>
      <c r="M772" s="2" t="str">
        <f>IF(J772&lt;&gt;"","",MID(F772, H772+1, I772-H772-1))</f>
        <v>411</v>
      </c>
      <c r="N772" s="2">
        <f>IF(J772&lt;&gt;"","",LEN(M772))</f>
        <v>3</v>
      </c>
      <c r="O772" s="2">
        <f>IF(J772&lt;&gt;"","",K772*M772)</f>
        <v>291399</v>
      </c>
    </row>
    <row r="773" spans="4:15" x14ac:dyDescent="0.3">
      <c r="D773" s="2">
        <v>770</v>
      </c>
      <c r="E773" s="2">
        <f>SEARCH("mul",$C$4,E772+1)</f>
        <v>18988</v>
      </c>
      <c r="F773" s="2" t="str">
        <f>MID($C$4,E773,$F$1)</f>
        <v>mul(267,470)&amp;mu</v>
      </c>
      <c r="G773" s="3">
        <f>SEARCH("(",F773)</f>
        <v>4</v>
      </c>
      <c r="H773" s="3">
        <f>SEARCH(",",F773)</f>
        <v>8</v>
      </c>
      <c r="I773" s="3">
        <f>SEARCH(")",F773)</f>
        <v>12</v>
      </c>
      <c r="J773" s="2" t="str">
        <f>IF(OR(ISERROR(G773),ISERROR(H773),ISERROR(I773)),"CORRUPT!","")</f>
        <v/>
      </c>
      <c r="K773" s="2" t="str">
        <f>IF(J773&lt;&gt;"","",MID(F773, G773+1, H773-G773-1))</f>
        <v>267</v>
      </c>
      <c r="L773" s="2">
        <f>IF(J773&lt;&gt;"","",LEN(K773))</f>
        <v>3</v>
      </c>
      <c r="M773" s="2" t="str">
        <f>IF(J773&lt;&gt;"","",MID(F773, H773+1, I773-H773-1))</f>
        <v>470</v>
      </c>
      <c r="N773" s="2">
        <f>IF(J773&lt;&gt;"","",LEN(M773))</f>
        <v>3</v>
      </c>
      <c r="O773" s="2">
        <f>IF(J773&lt;&gt;"","",K773*M773)</f>
        <v>125490</v>
      </c>
    </row>
    <row r="774" spans="4:15" x14ac:dyDescent="0.3">
      <c r="D774" s="2">
        <v>771</v>
      </c>
      <c r="E774" s="2">
        <f>SEARCH("mul",$C$4,E773+1)</f>
        <v>19001</v>
      </c>
      <c r="F774" s="2" t="str">
        <f>MID($C$4,E774,$F$1)</f>
        <v>mul(857,988)}/]</v>
      </c>
      <c r="G774" s="3">
        <f>SEARCH("(",F774)</f>
        <v>4</v>
      </c>
      <c r="H774" s="3">
        <f>SEARCH(",",F774)</f>
        <v>8</v>
      </c>
      <c r="I774" s="3">
        <f>SEARCH(")",F774)</f>
        <v>12</v>
      </c>
      <c r="J774" s="2" t="str">
        <f>IF(OR(ISERROR(G774),ISERROR(H774),ISERROR(I774)),"CORRUPT!","")</f>
        <v/>
      </c>
      <c r="K774" s="2" t="str">
        <f>IF(J774&lt;&gt;"","",MID(F774, G774+1, H774-G774-1))</f>
        <v>857</v>
      </c>
      <c r="L774" s="2">
        <f>IF(J774&lt;&gt;"","",LEN(K774))</f>
        <v>3</v>
      </c>
      <c r="M774" s="2" t="str">
        <f>IF(J774&lt;&gt;"","",MID(F774, H774+1, I774-H774-1))</f>
        <v>988</v>
      </c>
      <c r="N774" s="2">
        <f>IF(J774&lt;&gt;"","",LEN(M774))</f>
        <v>3</v>
      </c>
      <c r="O774" s="2">
        <f>IF(J774&lt;&gt;"","",K774*M774)</f>
        <v>846716</v>
      </c>
    </row>
    <row r="775" spans="4:15" x14ac:dyDescent="0.3">
      <c r="D775" s="2">
        <v>772</v>
      </c>
      <c r="E775" s="2">
        <f>SEARCH("mul",$C$4,E774+1)</f>
        <v>19055</v>
      </c>
      <c r="F775" s="2" t="str">
        <f>MID($C$4,E775,$F$1)</f>
        <v>mul(566,77)-&lt;wh</v>
      </c>
      <c r="G775" s="3">
        <f>SEARCH("(",F775)</f>
        <v>4</v>
      </c>
      <c r="H775" s="3">
        <f>SEARCH(",",F775)</f>
        <v>8</v>
      </c>
      <c r="I775" s="3">
        <f>SEARCH(")",F775)</f>
        <v>11</v>
      </c>
      <c r="J775" s="2" t="str">
        <f>IF(OR(ISERROR(G775),ISERROR(H775),ISERROR(I775)),"CORRUPT!","")</f>
        <v/>
      </c>
      <c r="K775" s="2" t="str">
        <f>IF(J775&lt;&gt;"","",MID(F775, G775+1, H775-G775-1))</f>
        <v>566</v>
      </c>
      <c r="L775" s="2">
        <f>IF(J775&lt;&gt;"","",LEN(K775))</f>
        <v>3</v>
      </c>
      <c r="M775" s="2" t="str">
        <f>IF(J775&lt;&gt;"","",MID(F775, H775+1, I775-H775-1))</f>
        <v>77</v>
      </c>
      <c r="N775" s="2">
        <f>IF(J775&lt;&gt;"","",LEN(M775))</f>
        <v>2</v>
      </c>
      <c r="O775" s="2">
        <f>IF(J775&lt;&gt;"","",K775*M775)</f>
        <v>43582</v>
      </c>
    </row>
    <row r="776" spans="4:15" x14ac:dyDescent="0.3">
      <c r="D776" s="2">
        <v>773</v>
      </c>
      <c r="E776" s="2">
        <f>SEARCH("mul",$C$4,E775+1)</f>
        <v>19083</v>
      </c>
      <c r="F776" s="2" t="str">
        <f>MID($C$4,E776,$F$1)</f>
        <v>mul(217,308)wha</v>
      </c>
      <c r="G776" s="3">
        <f>SEARCH("(",F776)</f>
        <v>4</v>
      </c>
      <c r="H776" s="3">
        <f>SEARCH(",",F776)</f>
        <v>8</v>
      </c>
      <c r="I776" s="3">
        <f>SEARCH(")",F776)</f>
        <v>12</v>
      </c>
      <c r="J776" s="2" t="str">
        <f>IF(OR(ISERROR(G776),ISERROR(H776),ISERROR(I776)),"CORRUPT!","")</f>
        <v/>
      </c>
      <c r="K776" s="2" t="str">
        <f>IF(J776&lt;&gt;"","",MID(F776, G776+1, H776-G776-1))</f>
        <v>217</v>
      </c>
      <c r="L776" s="2">
        <f>IF(J776&lt;&gt;"","",LEN(K776))</f>
        <v>3</v>
      </c>
      <c r="M776" s="2" t="str">
        <f>IF(J776&lt;&gt;"","",MID(F776, H776+1, I776-H776-1))</f>
        <v>308</v>
      </c>
      <c r="N776" s="2">
        <f>IF(J776&lt;&gt;"","",LEN(M776))</f>
        <v>3</v>
      </c>
      <c r="O776" s="2">
        <f>IF(J776&lt;&gt;"","",K776*M776)</f>
        <v>66836</v>
      </c>
    </row>
    <row r="777" spans="4:15" x14ac:dyDescent="0.3">
      <c r="D777" s="2">
        <v>774</v>
      </c>
      <c r="E777" s="2">
        <f>SEARCH("mul",$C$4,E776+1)</f>
        <v>19113</v>
      </c>
      <c r="F777" s="2" t="str">
        <f>MID($C$4,E777,$F$1)</f>
        <v>mul(462,131)&lt;+]</v>
      </c>
      <c r="G777" s="3">
        <f>SEARCH("(",F777)</f>
        <v>4</v>
      </c>
      <c r="H777" s="3">
        <f>SEARCH(",",F777)</f>
        <v>8</v>
      </c>
      <c r="I777" s="3">
        <f>SEARCH(")",F777)</f>
        <v>12</v>
      </c>
      <c r="J777" s="2" t="str">
        <f>IF(OR(ISERROR(G777),ISERROR(H777),ISERROR(I777)),"CORRUPT!","")</f>
        <v/>
      </c>
      <c r="K777" s="2" t="str">
        <f>IF(J777&lt;&gt;"","",MID(F777, G777+1, H777-G777-1))</f>
        <v>462</v>
      </c>
      <c r="L777" s="2">
        <f>IF(J777&lt;&gt;"","",LEN(K777))</f>
        <v>3</v>
      </c>
      <c r="M777" s="2" t="str">
        <f>IF(J777&lt;&gt;"","",MID(F777, H777+1, I777-H777-1))</f>
        <v>131</v>
      </c>
      <c r="N777" s="2">
        <f>IF(J777&lt;&gt;"","",LEN(M777))</f>
        <v>3</v>
      </c>
      <c r="O777" s="2">
        <f>IF(J777&lt;&gt;"","",K777*M777)</f>
        <v>60522</v>
      </c>
    </row>
    <row r="778" spans="4:15" x14ac:dyDescent="0.3">
      <c r="D778" s="2">
        <v>775</v>
      </c>
      <c r="E778" s="2">
        <f>SEARCH("mul",$C$4,E777+1)</f>
        <v>19142</v>
      </c>
      <c r="F778" s="2" t="str">
        <f>MID($C$4,E778,$F$1)</f>
        <v>mul(242,763)'se</v>
      </c>
      <c r="G778" s="3">
        <f>SEARCH("(",F778)</f>
        <v>4</v>
      </c>
      <c r="H778" s="3">
        <f>SEARCH(",",F778)</f>
        <v>8</v>
      </c>
      <c r="I778" s="3">
        <f>SEARCH(")",F778)</f>
        <v>12</v>
      </c>
      <c r="J778" s="2" t="str">
        <f>IF(OR(ISERROR(G778),ISERROR(H778),ISERROR(I778)),"CORRUPT!","")</f>
        <v/>
      </c>
      <c r="K778" s="2" t="str">
        <f>IF(J778&lt;&gt;"","",MID(F778, G778+1, H778-G778-1))</f>
        <v>242</v>
      </c>
      <c r="L778" s="2">
        <f>IF(J778&lt;&gt;"","",LEN(K778))</f>
        <v>3</v>
      </c>
      <c r="M778" s="2" t="str">
        <f>IF(J778&lt;&gt;"","",MID(F778, H778+1, I778-H778-1))</f>
        <v>763</v>
      </c>
      <c r="N778" s="2">
        <f>IF(J778&lt;&gt;"","",LEN(M778))</f>
        <v>3</v>
      </c>
      <c r="O778" s="2">
        <f>IF(J778&lt;&gt;"","",K778*M778)</f>
        <v>184646</v>
      </c>
    </row>
    <row r="779" spans="4:15" x14ac:dyDescent="0.3">
      <c r="D779" s="2">
        <v>776</v>
      </c>
      <c r="E779" s="2">
        <f>SEARCH("mul",$C$4,E778+1)</f>
        <v>19168</v>
      </c>
      <c r="F779" s="2" t="str">
        <f>MID($C$4,E779,$F$1)</f>
        <v>mul(316,185)[wh</v>
      </c>
      <c r="G779" s="3">
        <f>SEARCH("(",F779)</f>
        <v>4</v>
      </c>
      <c r="H779" s="3">
        <f>SEARCH(",",F779)</f>
        <v>8</v>
      </c>
      <c r="I779" s="3">
        <f>SEARCH(")",F779)</f>
        <v>12</v>
      </c>
      <c r="J779" s="2" t="str">
        <f>IF(OR(ISERROR(G779),ISERROR(H779),ISERROR(I779)),"CORRUPT!","")</f>
        <v/>
      </c>
      <c r="K779" s="2" t="str">
        <f>IF(J779&lt;&gt;"","",MID(F779, G779+1, H779-G779-1))</f>
        <v>316</v>
      </c>
      <c r="L779" s="2">
        <f>IF(J779&lt;&gt;"","",LEN(K779))</f>
        <v>3</v>
      </c>
      <c r="M779" s="2" t="str">
        <f>IF(J779&lt;&gt;"","",MID(F779, H779+1, I779-H779-1))</f>
        <v>185</v>
      </c>
      <c r="N779" s="2">
        <f>IF(J779&lt;&gt;"","",LEN(M779))</f>
        <v>3</v>
      </c>
      <c r="O779" s="2">
        <f>IF(J779&lt;&gt;"","",K779*M779)</f>
        <v>58460</v>
      </c>
    </row>
    <row r="780" spans="4:15" x14ac:dyDescent="0.3">
      <c r="D780" s="2">
        <v>777</v>
      </c>
      <c r="E780" s="2">
        <f>SEARCH("mul",$C$4,E779+1)</f>
        <v>19189</v>
      </c>
      <c r="F780" s="2" t="str">
        <f>MID($C$4,E780,$F$1)</f>
        <v>mul(584,440)fro</v>
      </c>
      <c r="G780" s="3">
        <f>SEARCH("(",F780)</f>
        <v>4</v>
      </c>
      <c r="H780" s="3">
        <f>SEARCH(",",F780)</f>
        <v>8</v>
      </c>
      <c r="I780" s="3">
        <f>SEARCH(")",F780)</f>
        <v>12</v>
      </c>
      <c r="J780" s="2" t="str">
        <f>IF(OR(ISERROR(G780),ISERROR(H780),ISERROR(I780)),"CORRUPT!","")</f>
        <v/>
      </c>
      <c r="K780" s="2" t="str">
        <f>IF(J780&lt;&gt;"","",MID(F780, G780+1, H780-G780-1))</f>
        <v>584</v>
      </c>
      <c r="L780" s="2">
        <f>IF(J780&lt;&gt;"","",LEN(K780))</f>
        <v>3</v>
      </c>
      <c r="M780" s="2" t="str">
        <f>IF(J780&lt;&gt;"","",MID(F780, H780+1, I780-H780-1))</f>
        <v>440</v>
      </c>
      <c r="N780" s="2">
        <f>IF(J780&lt;&gt;"","",LEN(M780))</f>
        <v>3</v>
      </c>
      <c r="O780" s="2">
        <f>IF(J780&lt;&gt;"","",K780*M780)</f>
        <v>256960</v>
      </c>
    </row>
    <row r="781" spans="4:15" x14ac:dyDescent="0.3">
      <c r="D781" s="2">
        <v>778</v>
      </c>
      <c r="E781" s="2" t="e">
        <f>SEARCH("mul",$C$4,E780+1)</f>
        <v>#VALUE!</v>
      </c>
      <c r="F781" s="2" t="e">
        <f>MID($C$4,E781,$F$1)</f>
        <v>#VALUE!</v>
      </c>
      <c r="G781" s="3" t="e">
        <f>SEARCH("(",F781)</f>
        <v>#VALUE!</v>
      </c>
      <c r="H781" s="3" t="e">
        <f>SEARCH(",",F781)</f>
        <v>#VALUE!</v>
      </c>
      <c r="I781" s="3" t="e">
        <f>SEARCH(")",F781)</f>
        <v>#VALUE!</v>
      </c>
      <c r="J781" s="2" t="str">
        <f>IF(OR(ISERROR(G781),ISERROR(H781),ISERROR(I781)),"CORRUPT!","")</f>
        <v>CORRUPT!</v>
      </c>
      <c r="K781" s="2" t="str">
        <f>IF(J781&lt;&gt;"","",MID(F781, G781+1, H781-G781-1))</f>
        <v/>
      </c>
      <c r="L781" s="2" t="str">
        <f>IF(J781&lt;&gt;"","",LEN(K781))</f>
        <v/>
      </c>
      <c r="M781" s="2" t="str">
        <f>IF(J781&lt;&gt;"","",MID(F781, H781+1, I781-H781-1))</f>
        <v/>
      </c>
      <c r="N781" s="2" t="str">
        <f>IF(J781&lt;&gt;"","",LEN(M781))</f>
        <v/>
      </c>
      <c r="O781" s="2" t="str">
        <f>IF(J781&lt;&gt;"","",K781*M781)</f>
        <v/>
      </c>
    </row>
    <row r="782" spans="4:15" x14ac:dyDescent="0.3">
      <c r="D782" s="2">
        <v>779</v>
      </c>
      <c r="E782" s="2" t="e">
        <f>SEARCH("mul",$C$4,E781+1)</f>
        <v>#VALUE!</v>
      </c>
      <c r="F782" s="2" t="e">
        <f>MID($C$4,E782,$F$1)</f>
        <v>#VALUE!</v>
      </c>
      <c r="G782" s="3" t="e">
        <f>SEARCH("(",F782)</f>
        <v>#VALUE!</v>
      </c>
      <c r="H782" s="3" t="e">
        <f>SEARCH(",",F782)</f>
        <v>#VALUE!</v>
      </c>
      <c r="I782" s="3" t="e">
        <f>SEARCH(")",F782)</f>
        <v>#VALUE!</v>
      </c>
      <c r="J782" s="2" t="str">
        <f>IF(OR(ISERROR(G782),ISERROR(H782),ISERROR(I782)),"CORRUPT!","")</f>
        <v>CORRUPT!</v>
      </c>
      <c r="K782" s="2" t="str">
        <f>IF(J782&lt;&gt;"","",MID(F782, G782+1, H782-G782-1))</f>
        <v/>
      </c>
      <c r="L782" s="2" t="str">
        <f>IF(J782&lt;&gt;"","",LEN(K782))</f>
        <v/>
      </c>
      <c r="M782" s="2" t="str">
        <f>IF(J782&lt;&gt;"","",MID(F782, H782+1, I782-H782-1))</f>
        <v/>
      </c>
      <c r="N782" s="2" t="str">
        <f>IF(J782&lt;&gt;"","",LEN(M782))</f>
        <v/>
      </c>
      <c r="O782" s="2" t="str">
        <f>IF(J782&lt;&gt;"","",K782*M782)</f>
        <v/>
      </c>
    </row>
    <row r="783" spans="4:15" x14ac:dyDescent="0.3">
      <c r="D783" s="2">
        <v>780</v>
      </c>
      <c r="E783" s="2" t="e">
        <f>SEARCH("mul",$C$4,E782+1)</f>
        <v>#VALUE!</v>
      </c>
      <c r="F783" s="2" t="e">
        <f>MID($C$4,E783,$F$1)</f>
        <v>#VALUE!</v>
      </c>
      <c r="G783" s="3" t="e">
        <f>SEARCH("(",F783)</f>
        <v>#VALUE!</v>
      </c>
      <c r="H783" s="3" t="e">
        <f>SEARCH(",",F783)</f>
        <v>#VALUE!</v>
      </c>
      <c r="I783" s="3" t="e">
        <f>SEARCH(")",F783)</f>
        <v>#VALUE!</v>
      </c>
      <c r="J783" s="2" t="str">
        <f>IF(OR(ISERROR(G783),ISERROR(H783),ISERROR(I783)),"CORRUPT!","")</f>
        <v>CORRUPT!</v>
      </c>
      <c r="K783" s="2" t="str">
        <f>IF(J783&lt;&gt;"","",MID(F783, G783+1, H783-G783-1))</f>
        <v/>
      </c>
      <c r="L783" s="2" t="str">
        <f>IF(J783&lt;&gt;"","",LEN(K783))</f>
        <v/>
      </c>
      <c r="M783" s="2" t="str">
        <f>IF(J783&lt;&gt;"","",MID(F783, H783+1, I783-H783-1))</f>
        <v/>
      </c>
      <c r="N783" s="2" t="str">
        <f>IF(J783&lt;&gt;"","",LEN(M783))</f>
        <v/>
      </c>
      <c r="O783" s="2" t="str">
        <f>IF(J783&lt;&gt;"","",K783*M783)</f>
        <v/>
      </c>
    </row>
    <row r="784" spans="4:15" x14ac:dyDescent="0.3">
      <c r="D784" s="2">
        <v>781</v>
      </c>
      <c r="E784" s="2" t="e">
        <f>SEARCH("mul",$C$4,E783+1)</f>
        <v>#VALUE!</v>
      </c>
      <c r="F784" s="2" t="e">
        <f>MID($C$4,E784,$F$1)</f>
        <v>#VALUE!</v>
      </c>
      <c r="G784" s="3" t="e">
        <f>SEARCH("(",F784)</f>
        <v>#VALUE!</v>
      </c>
      <c r="H784" s="3" t="e">
        <f>SEARCH(",",F784)</f>
        <v>#VALUE!</v>
      </c>
      <c r="I784" s="3" t="e">
        <f>SEARCH(")",F784)</f>
        <v>#VALUE!</v>
      </c>
      <c r="J784" s="2" t="str">
        <f>IF(OR(ISERROR(G784),ISERROR(H784),ISERROR(I784)),"CORRUPT!","")</f>
        <v>CORRUPT!</v>
      </c>
      <c r="K784" s="2" t="str">
        <f>IF(J784&lt;&gt;"","",MID(F784, G784+1, H784-G784-1))</f>
        <v/>
      </c>
      <c r="L784" s="2" t="str">
        <f>IF(J784&lt;&gt;"","",LEN(K784))</f>
        <v/>
      </c>
      <c r="M784" s="2" t="str">
        <f>IF(J784&lt;&gt;"","",MID(F784, H784+1, I784-H784-1))</f>
        <v/>
      </c>
      <c r="N784" s="2" t="str">
        <f>IF(J784&lt;&gt;"","",LEN(M784))</f>
        <v/>
      </c>
      <c r="O784" s="2" t="str">
        <f>IF(J784&lt;&gt;"","",K784*M784)</f>
        <v/>
      </c>
    </row>
    <row r="785" spans="4:15" x14ac:dyDescent="0.3">
      <c r="D785" s="2">
        <v>782</v>
      </c>
      <c r="E785" s="2" t="e">
        <f>SEARCH("mul",$C$4,E784+1)</f>
        <v>#VALUE!</v>
      </c>
      <c r="F785" s="2" t="e">
        <f>MID($C$4,E785,$F$1)</f>
        <v>#VALUE!</v>
      </c>
      <c r="G785" s="3" t="e">
        <f>SEARCH("(",F785)</f>
        <v>#VALUE!</v>
      </c>
      <c r="H785" s="3" t="e">
        <f>SEARCH(",",F785)</f>
        <v>#VALUE!</v>
      </c>
      <c r="I785" s="3" t="e">
        <f>SEARCH(")",F785)</f>
        <v>#VALUE!</v>
      </c>
      <c r="J785" s="2" t="str">
        <f>IF(OR(ISERROR(G785),ISERROR(H785),ISERROR(I785)),"CORRUPT!","")</f>
        <v>CORRUPT!</v>
      </c>
      <c r="K785" s="2" t="str">
        <f>IF(J785&lt;&gt;"","",MID(F785, G785+1, H785-G785-1))</f>
        <v/>
      </c>
      <c r="L785" s="2" t="str">
        <f>IF(J785&lt;&gt;"","",LEN(K785))</f>
        <v/>
      </c>
      <c r="M785" s="2" t="str">
        <f>IF(J785&lt;&gt;"","",MID(F785, H785+1, I785-H785-1))</f>
        <v/>
      </c>
      <c r="N785" s="2" t="str">
        <f>IF(J785&lt;&gt;"","",LEN(M785))</f>
        <v/>
      </c>
      <c r="O785" s="2" t="str">
        <f>IF(J785&lt;&gt;"","",K785*M785)</f>
        <v/>
      </c>
    </row>
    <row r="786" spans="4:15" x14ac:dyDescent="0.3">
      <c r="D786" s="2">
        <v>783</v>
      </c>
      <c r="E786" s="2" t="e">
        <f>SEARCH("mul",$C$4,E785+1)</f>
        <v>#VALUE!</v>
      </c>
      <c r="F786" s="2" t="e">
        <f>MID($C$4,E786,$F$1)</f>
        <v>#VALUE!</v>
      </c>
      <c r="G786" s="3" t="e">
        <f>SEARCH("(",F786)</f>
        <v>#VALUE!</v>
      </c>
      <c r="H786" s="3" t="e">
        <f>SEARCH(",",F786)</f>
        <v>#VALUE!</v>
      </c>
      <c r="I786" s="3" t="e">
        <f>SEARCH(")",F786)</f>
        <v>#VALUE!</v>
      </c>
      <c r="J786" s="2" t="str">
        <f>IF(OR(ISERROR(G786),ISERROR(H786),ISERROR(I786)),"CORRUPT!","")</f>
        <v>CORRUPT!</v>
      </c>
      <c r="K786" s="2" t="str">
        <f>IF(J786&lt;&gt;"","",MID(F786, G786+1, H786-G786-1))</f>
        <v/>
      </c>
      <c r="L786" s="2" t="str">
        <f>IF(J786&lt;&gt;"","",LEN(K786))</f>
        <v/>
      </c>
      <c r="M786" s="2" t="str">
        <f>IF(J786&lt;&gt;"","",MID(F786, H786+1, I786-H786-1))</f>
        <v/>
      </c>
      <c r="N786" s="2" t="str">
        <f>IF(J786&lt;&gt;"","",LEN(M786))</f>
        <v/>
      </c>
      <c r="O786" s="2" t="str">
        <f>IF(J786&lt;&gt;"","",K786*M786)</f>
        <v/>
      </c>
    </row>
    <row r="787" spans="4:15" x14ac:dyDescent="0.3">
      <c r="D787" s="2">
        <v>784</v>
      </c>
      <c r="E787" s="2" t="e">
        <f>SEARCH("mul",$C$4,E786+1)</f>
        <v>#VALUE!</v>
      </c>
      <c r="F787" s="2" t="e">
        <f>MID($C$4,E787,$F$1)</f>
        <v>#VALUE!</v>
      </c>
      <c r="G787" s="3" t="e">
        <f>SEARCH("(",F787)</f>
        <v>#VALUE!</v>
      </c>
      <c r="H787" s="3" t="e">
        <f>SEARCH(",",F787)</f>
        <v>#VALUE!</v>
      </c>
      <c r="I787" s="3" t="e">
        <f>SEARCH(")",F787)</f>
        <v>#VALUE!</v>
      </c>
      <c r="J787" s="2" t="str">
        <f>IF(OR(ISERROR(G787),ISERROR(H787),ISERROR(I787)),"CORRUPT!","")</f>
        <v>CORRUPT!</v>
      </c>
      <c r="K787" s="2" t="str">
        <f>IF(J787&lt;&gt;"","",MID(F787, G787+1, H787-G787-1))</f>
        <v/>
      </c>
      <c r="L787" s="2" t="str">
        <f>IF(J787&lt;&gt;"","",LEN(K787))</f>
        <v/>
      </c>
      <c r="M787" s="2" t="str">
        <f>IF(J787&lt;&gt;"","",MID(F787, H787+1, I787-H787-1))</f>
        <v/>
      </c>
      <c r="N787" s="2" t="str">
        <f>IF(J787&lt;&gt;"","",LEN(M787))</f>
        <v/>
      </c>
      <c r="O787" s="2" t="str">
        <f>IF(J787&lt;&gt;"","",K787*M787)</f>
        <v/>
      </c>
    </row>
    <row r="788" spans="4:15" x14ac:dyDescent="0.3">
      <c r="D788" s="2">
        <v>785</v>
      </c>
      <c r="E788" s="2" t="e">
        <f>SEARCH("mul",$C$4,E787+1)</f>
        <v>#VALUE!</v>
      </c>
      <c r="F788" s="2" t="e">
        <f>MID($C$4,E788,$F$1)</f>
        <v>#VALUE!</v>
      </c>
      <c r="G788" s="3" t="e">
        <f>SEARCH("(",F788)</f>
        <v>#VALUE!</v>
      </c>
      <c r="H788" s="3" t="e">
        <f>SEARCH(",",F788)</f>
        <v>#VALUE!</v>
      </c>
      <c r="I788" s="3" t="e">
        <f>SEARCH(")",F788)</f>
        <v>#VALUE!</v>
      </c>
      <c r="J788" s="2" t="str">
        <f>IF(OR(ISERROR(G788),ISERROR(H788),ISERROR(I788)),"CORRUPT!","")</f>
        <v>CORRUPT!</v>
      </c>
      <c r="K788" s="2" t="str">
        <f>IF(J788&lt;&gt;"","",MID(F788, G788+1, H788-G788-1))</f>
        <v/>
      </c>
      <c r="L788" s="2" t="str">
        <f>IF(J788&lt;&gt;"","",LEN(K788))</f>
        <v/>
      </c>
      <c r="M788" s="2" t="str">
        <f>IF(J788&lt;&gt;"","",MID(F788, H788+1, I788-H788-1))</f>
        <v/>
      </c>
      <c r="N788" s="2" t="str">
        <f>IF(J788&lt;&gt;"","",LEN(M788))</f>
        <v/>
      </c>
      <c r="O788" s="2" t="str">
        <f>IF(J788&lt;&gt;"","",K788*M788)</f>
        <v/>
      </c>
    </row>
    <row r="789" spans="4:15" x14ac:dyDescent="0.3">
      <c r="D789" s="2">
        <v>786</v>
      </c>
      <c r="E789" s="2" t="e">
        <f>SEARCH("mul",$C$4,E788+1)</f>
        <v>#VALUE!</v>
      </c>
      <c r="F789" s="2" t="e">
        <f>MID($C$4,E789,$F$1)</f>
        <v>#VALUE!</v>
      </c>
      <c r="G789" s="3" t="e">
        <f>SEARCH("(",F789)</f>
        <v>#VALUE!</v>
      </c>
      <c r="H789" s="3" t="e">
        <f>SEARCH(",",F789)</f>
        <v>#VALUE!</v>
      </c>
      <c r="I789" s="3" t="e">
        <f>SEARCH(")",F789)</f>
        <v>#VALUE!</v>
      </c>
      <c r="J789" s="2" t="str">
        <f>IF(OR(ISERROR(G789),ISERROR(H789),ISERROR(I789)),"CORRUPT!","")</f>
        <v>CORRUPT!</v>
      </c>
      <c r="K789" s="2" t="str">
        <f>IF(J789&lt;&gt;"","",MID(F789, G789+1, H789-G789-1))</f>
        <v/>
      </c>
      <c r="L789" s="2" t="str">
        <f>IF(J789&lt;&gt;"","",LEN(K789))</f>
        <v/>
      </c>
      <c r="M789" s="2" t="str">
        <f>IF(J789&lt;&gt;"","",MID(F789, H789+1, I789-H789-1))</f>
        <v/>
      </c>
      <c r="N789" s="2" t="str">
        <f>IF(J789&lt;&gt;"","",LEN(M789))</f>
        <v/>
      </c>
      <c r="O789" s="2" t="str">
        <f>IF(J789&lt;&gt;"","",K789*M789)</f>
        <v/>
      </c>
    </row>
  </sheetData>
  <autoFilter ref="D3:O789" xr:uid="{1A878AC8-9D44-4589-AEF6-CCE110D196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Dempster, Nerrida</dc:creator>
  <cp:lastModifiedBy>Dempster, Nerrida</cp:lastModifiedBy>
  <dcterms:created xsi:type="dcterms:W3CDTF">2024-12-08T11:05:08Z</dcterms:created>
  <dcterms:modified xsi:type="dcterms:W3CDTF">2024-12-08T11:06:09Z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cb8965-26fb-4a97-9513-50d88672d46c_Enabled">
    <vt:lpwstr>true</vt:lpwstr>
  </property>
  <property fmtid="{D5CDD505-2E9C-101B-9397-08002B2CF9AE}" pid="3" name="MSIP_Label_fecb8965-26fb-4a97-9513-50d88672d46c_SetDate">
    <vt:lpwstr>2024-12-08T11:05:19Z</vt:lpwstr>
  </property>
  <property fmtid="{D5CDD505-2E9C-101B-9397-08002B2CF9AE}" pid="4" name="MSIP_Label_fecb8965-26fb-4a97-9513-50d88672d46c_Method">
    <vt:lpwstr>Standard</vt:lpwstr>
  </property>
  <property fmtid="{D5CDD505-2E9C-101B-9397-08002B2CF9AE}" pid="5" name="MSIP_Label_fecb8965-26fb-4a97-9513-50d88672d46c_Name">
    <vt:lpwstr>fecb8965-26fb-4a97-9513-50d88672d46c</vt:lpwstr>
  </property>
  <property fmtid="{D5CDD505-2E9C-101B-9397-08002B2CF9AE}" pid="6" name="MSIP_Label_fecb8965-26fb-4a97-9513-50d88672d46c_SiteId">
    <vt:lpwstr>64458159-0d9a-4d84-966f-1a13c0ac7a34</vt:lpwstr>
  </property>
  <property fmtid="{D5CDD505-2E9C-101B-9397-08002B2CF9AE}" pid="7" name="MSIP_Label_fecb8965-26fb-4a97-9513-50d88672d46c_ActionId">
    <vt:lpwstr>5125e775-7085-4da2-8784-a0177bec3cee</vt:lpwstr>
  </property>
  <property fmtid="{D5CDD505-2E9C-101B-9397-08002B2CF9AE}" pid="8" name="MSIP_Label_fecb8965-26fb-4a97-9513-50d88672d46c_ContentBits">
    <vt:lpwstr>3</vt:lpwstr>
  </property>
</Properties>
</file>